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onio\Desktop\"/>
    </mc:Choice>
  </mc:AlternateContent>
  <xr:revisionPtr revIDLastSave="0" documentId="13_ncr:1_{48192548-7AA5-411B-B27B-333EA9656391}" xr6:coauthVersionLast="47" xr6:coauthVersionMax="47" xr10:uidLastSave="{00000000-0000-0000-0000-000000000000}"/>
  <bookViews>
    <workbookView xWindow="-110" yWindow="-110" windowWidth="19420" windowHeight="11020" tabRatio="682" activeTab="5" xr2:uid="{00000000-000D-0000-FFFF-FFFF00000000}"/>
  </bookViews>
  <sheets>
    <sheet name="Scénarios" sheetId="1" r:id="rId1"/>
    <sheet name="Impacts" sheetId="2" r:id="rId2"/>
    <sheet name="Valorisation" sheetId="3" r:id="rId3"/>
    <sheet name="Flux économiques" sheetId="4" r:id="rId4"/>
    <sheet name="VAN" sheetId="5" r:id="rId5"/>
    <sheet name="Stress test" sheetId="7" r:id="rId6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5" l="1"/>
  <c r="M4" i="5"/>
  <c r="M6" i="5"/>
  <c r="M10" i="5"/>
  <c r="B3" i="5"/>
  <c r="C3" i="5"/>
  <c r="C4" i="5"/>
  <c r="B4" i="5"/>
  <c r="H3" i="5"/>
  <c r="F52" i="5"/>
  <c r="E52" i="5"/>
  <c r="D52" i="5"/>
  <c r="H52" i="5" s="1"/>
  <c r="I52" i="5" s="1"/>
  <c r="B52" i="5"/>
  <c r="F51" i="5"/>
  <c r="E51" i="5"/>
  <c r="D51" i="5"/>
  <c r="H51" i="5" s="1"/>
  <c r="I51" i="5" s="1"/>
  <c r="B51" i="5"/>
  <c r="F50" i="5"/>
  <c r="E50" i="5"/>
  <c r="D50" i="5"/>
  <c r="H50" i="5" s="1"/>
  <c r="I50" i="5" s="1"/>
  <c r="B50" i="5"/>
  <c r="F49" i="5"/>
  <c r="E49" i="5"/>
  <c r="D49" i="5"/>
  <c r="B49" i="5"/>
  <c r="F48" i="5"/>
  <c r="E48" i="5"/>
  <c r="D48" i="5"/>
  <c r="H48" i="5" s="1"/>
  <c r="I48" i="5" s="1"/>
  <c r="B48" i="5"/>
  <c r="F47" i="5"/>
  <c r="E47" i="5"/>
  <c r="D47" i="5"/>
  <c r="H47" i="5" s="1"/>
  <c r="I47" i="5" s="1"/>
  <c r="B47" i="5"/>
  <c r="F46" i="5"/>
  <c r="E46" i="5"/>
  <c r="D46" i="5"/>
  <c r="B46" i="5"/>
  <c r="F45" i="5"/>
  <c r="E45" i="5"/>
  <c r="D45" i="5"/>
  <c r="B45" i="5"/>
  <c r="F44" i="5"/>
  <c r="E44" i="5"/>
  <c r="D44" i="5"/>
  <c r="H44" i="5" s="1"/>
  <c r="I44" i="5" s="1"/>
  <c r="B44" i="5"/>
  <c r="F43" i="5"/>
  <c r="E43" i="5"/>
  <c r="D43" i="5"/>
  <c r="B43" i="5"/>
  <c r="F42" i="5"/>
  <c r="E42" i="5"/>
  <c r="D42" i="5"/>
  <c r="B42" i="5"/>
  <c r="F41" i="5"/>
  <c r="E41" i="5"/>
  <c r="D41" i="5"/>
  <c r="H41" i="5" s="1"/>
  <c r="I41" i="5" s="1"/>
  <c r="B41" i="5"/>
  <c r="F40" i="5"/>
  <c r="E40" i="5"/>
  <c r="D40" i="5"/>
  <c r="H40" i="5" s="1"/>
  <c r="I40" i="5" s="1"/>
  <c r="B40" i="5"/>
  <c r="F39" i="5"/>
  <c r="E39" i="5"/>
  <c r="D39" i="5"/>
  <c r="H39" i="5" s="1"/>
  <c r="I39" i="5" s="1"/>
  <c r="B39" i="5"/>
  <c r="F38" i="5"/>
  <c r="E38" i="5"/>
  <c r="D38" i="5"/>
  <c r="H38" i="5" s="1"/>
  <c r="I38" i="5" s="1"/>
  <c r="B38" i="5"/>
  <c r="F37" i="5"/>
  <c r="E37" i="5"/>
  <c r="D37" i="5"/>
  <c r="B37" i="5"/>
  <c r="F36" i="5"/>
  <c r="E36" i="5"/>
  <c r="D36" i="5"/>
  <c r="H36" i="5" s="1"/>
  <c r="I36" i="5" s="1"/>
  <c r="B36" i="5"/>
  <c r="F35" i="5"/>
  <c r="E35" i="5"/>
  <c r="D35" i="5"/>
  <c r="H35" i="5" s="1"/>
  <c r="I35" i="5" s="1"/>
  <c r="B35" i="5"/>
  <c r="F34" i="5"/>
  <c r="E34" i="5"/>
  <c r="D34" i="5"/>
  <c r="B34" i="5"/>
  <c r="F33" i="5"/>
  <c r="E33" i="5"/>
  <c r="D33" i="5"/>
  <c r="B33" i="5"/>
  <c r="F32" i="5"/>
  <c r="E32" i="5"/>
  <c r="D32" i="5"/>
  <c r="H32" i="5" s="1"/>
  <c r="I32" i="5" s="1"/>
  <c r="B32" i="5"/>
  <c r="F31" i="5"/>
  <c r="E31" i="5"/>
  <c r="D31" i="5"/>
  <c r="B31" i="5"/>
  <c r="F30" i="5"/>
  <c r="E30" i="5"/>
  <c r="D30" i="5"/>
  <c r="B30" i="5"/>
  <c r="F29" i="5"/>
  <c r="E29" i="5"/>
  <c r="D29" i="5"/>
  <c r="H29" i="5" s="1"/>
  <c r="I29" i="5" s="1"/>
  <c r="B29" i="5"/>
  <c r="F28" i="5"/>
  <c r="E28" i="5"/>
  <c r="D28" i="5"/>
  <c r="H28" i="5" s="1"/>
  <c r="I28" i="5" s="1"/>
  <c r="B28" i="5"/>
  <c r="F27" i="5"/>
  <c r="E27" i="5"/>
  <c r="D27" i="5"/>
  <c r="H27" i="5" s="1"/>
  <c r="I27" i="5" s="1"/>
  <c r="B27" i="5"/>
  <c r="F26" i="5"/>
  <c r="E26" i="5"/>
  <c r="D26" i="5"/>
  <c r="H26" i="5" s="1"/>
  <c r="I26" i="5" s="1"/>
  <c r="B26" i="5"/>
  <c r="F25" i="5"/>
  <c r="E25" i="5"/>
  <c r="D25" i="5"/>
  <c r="B25" i="5"/>
  <c r="F24" i="5"/>
  <c r="E24" i="5"/>
  <c r="D24" i="5"/>
  <c r="H24" i="5" s="1"/>
  <c r="I24" i="5" s="1"/>
  <c r="B24" i="5"/>
  <c r="F23" i="5"/>
  <c r="E23" i="5"/>
  <c r="D23" i="5"/>
  <c r="H23" i="5" s="1"/>
  <c r="I23" i="5" s="1"/>
  <c r="B23" i="5"/>
  <c r="F22" i="5"/>
  <c r="E22" i="5"/>
  <c r="D22" i="5"/>
  <c r="B22" i="5"/>
  <c r="F21" i="5"/>
  <c r="E21" i="5"/>
  <c r="D21" i="5"/>
  <c r="B21" i="5"/>
  <c r="G20" i="5"/>
  <c r="F20" i="5"/>
  <c r="E20" i="5"/>
  <c r="D20" i="5"/>
  <c r="H20" i="5" s="1"/>
  <c r="I20" i="5" s="1"/>
  <c r="B20" i="5"/>
  <c r="G19" i="5"/>
  <c r="F19" i="5"/>
  <c r="E19" i="5"/>
  <c r="D19" i="5"/>
  <c r="B19" i="5"/>
  <c r="G18" i="5"/>
  <c r="F18" i="5"/>
  <c r="E18" i="5"/>
  <c r="D18" i="5"/>
  <c r="B18" i="5"/>
  <c r="G17" i="5"/>
  <c r="F17" i="5"/>
  <c r="E17" i="5"/>
  <c r="D17" i="5"/>
  <c r="H17" i="5" s="1"/>
  <c r="I17" i="5" s="1"/>
  <c r="B17" i="5"/>
  <c r="G16" i="5"/>
  <c r="F16" i="5"/>
  <c r="E16" i="5"/>
  <c r="D16" i="5"/>
  <c r="H16" i="5" s="1"/>
  <c r="I16" i="5" s="1"/>
  <c r="B16" i="5"/>
  <c r="G15" i="5"/>
  <c r="F15" i="5"/>
  <c r="E15" i="5"/>
  <c r="H15" i="5" s="1"/>
  <c r="I15" i="5" s="1"/>
  <c r="D15" i="5"/>
  <c r="B15" i="5"/>
  <c r="G14" i="5"/>
  <c r="F14" i="5"/>
  <c r="E14" i="5"/>
  <c r="D14" i="5"/>
  <c r="H14" i="5" s="1"/>
  <c r="I14" i="5" s="1"/>
  <c r="B14" i="5"/>
  <c r="G13" i="5"/>
  <c r="G53" i="5" s="1"/>
  <c r="F13" i="5"/>
  <c r="F53" i="5" s="1"/>
  <c r="E13" i="5"/>
  <c r="E53" i="5" s="1"/>
  <c r="D13" i="5"/>
  <c r="H13" i="5" s="1"/>
  <c r="I13" i="5" s="1"/>
  <c r="B13" i="5"/>
  <c r="G12" i="5"/>
  <c r="F12" i="5"/>
  <c r="E12" i="5"/>
  <c r="D12" i="5"/>
  <c r="B12" i="5"/>
  <c r="G11" i="5"/>
  <c r="F11" i="5"/>
  <c r="E11" i="5"/>
  <c r="D11" i="5"/>
  <c r="B11" i="5"/>
  <c r="C10" i="5"/>
  <c r="B10" i="5"/>
  <c r="C9" i="5"/>
  <c r="B9" i="5"/>
  <c r="C8" i="5"/>
  <c r="H8" i="5" s="1"/>
  <c r="I8" i="5" s="1"/>
  <c r="B8" i="5"/>
  <c r="C7" i="5"/>
  <c r="H7" i="5" s="1"/>
  <c r="I7" i="5" s="1"/>
  <c r="B7" i="5"/>
  <c r="C6" i="5"/>
  <c r="H6" i="5" s="1"/>
  <c r="I6" i="5" s="1"/>
  <c r="B6" i="5"/>
  <c r="C5" i="5"/>
  <c r="H5" i="5" s="1"/>
  <c r="I5" i="5" s="1"/>
  <c r="M3" i="5" s="1"/>
  <c r="H49" i="5"/>
  <c r="I49" i="5" s="1"/>
  <c r="H46" i="5"/>
  <c r="I46" i="5" s="1"/>
  <c r="H45" i="5"/>
  <c r="I45" i="5" s="1"/>
  <c r="H43" i="5"/>
  <c r="I43" i="5" s="1"/>
  <c r="H42" i="5"/>
  <c r="I42" i="5" s="1"/>
  <c r="H37" i="5"/>
  <c r="I37" i="5" s="1"/>
  <c r="H34" i="5"/>
  <c r="I34" i="5" s="1"/>
  <c r="H33" i="5"/>
  <c r="I33" i="5" s="1"/>
  <c r="H31" i="5"/>
  <c r="I31" i="5" s="1"/>
  <c r="H30" i="5"/>
  <c r="I30" i="5" s="1"/>
  <c r="H25" i="5"/>
  <c r="I25" i="5" s="1"/>
  <c r="H22" i="5"/>
  <c r="I22" i="5" s="1"/>
  <c r="H21" i="5"/>
  <c r="I21" i="5" s="1"/>
  <c r="H19" i="5"/>
  <c r="I19" i="5" s="1"/>
  <c r="H18" i="5"/>
  <c r="I18" i="5" s="1"/>
  <c r="H12" i="5"/>
  <c r="I12" i="5" s="1"/>
  <c r="H11" i="5"/>
  <c r="I11" i="5" s="1"/>
  <c r="H10" i="5"/>
  <c r="H9" i="5"/>
  <c r="I9" i="5" s="1"/>
  <c r="E6" i="7"/>
  <c r="C6" i="7"/>
  <c r="B2" i="7"/>
  <c r="H6" i="7" s="1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B21" i="4"/>
  <c r="B20" i="4"/>
  <c r="B19" i="4"/>
  <c r="B18" i="4"/>
  <c r="B25" i="4" s="1"/>
  <c r="B11" i="4"/>
  <c r="B10" i="4"/>
  <c r="B7" i="4"/>
  <c r="M9" i="5" l="1"/>
  <c r="M7" i="5"/>
  <c r="I10" i="5"/>
  <c r="C53" i="5"/>
  <c r="I3" i="5"/>
  <c r="H4" i="5"/>
  <c r="I4" i="5" s="1"/>
  <c r="D53" i="5"/>
  <c r="I6" i="7"/>
  <c r="J6" i="7"/>
  <c r="D6" i="7"/>
  <c r="F6" i="7"/>
  <c r="G6" i="7"/>
  <c r="B22" i="4"/>
  <c r="B26" i="4" s="1"/>
  <c r="B27" i="4" s="1"/>
  <c r="B28" i="4" s="1"/>
  <c r="I53" i="5" l="1"/>
  <c r="J3" i="5"/>
  <c r="J4" i="5" s="1"/>
  <c r="J5" i="5" s="1"/>
  <c r="J6" i="5" s="1"/>
  <c r="J7" i="5" s="1"/>
  <c r="J8" i="5" s="1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J32" i="5" s="1"/>
  <c r="J33" i="5" s="1"/>
  <c r="J34" i="5" s="1"/>
  <c r="J35" i="5" s="1"/>
  <c r="J36" i="5" s="1"/>
  <c r="J37" i="5" s="1"/>
  <c r="J38" i="5" s="1"/>
  <c r="J39" i="5" s="1"/>
  <c r="J40" i="5" s="1"/>
  <c r="J41" i="5" s="1"/>
  <c r="J42" i="5" s="1"/>
  <c r="J43" i="5" s="1"/>
  <c r="J44" i="5" s="1"/>
  <c r="J45" i="5" s="1"/>
  <c r="J46" i="5" s="1"/>
  <c r="J47" i="5" s="1"/>
  <c r="J48" i="5" s="1"/>
  <c r="J49" i="5" s="1"/>
  <c r="J50" i="5" s="1"/>
  <c r="J51" i="5" s="1"/>
  <c r="J52" i="5" s="1"/>
  <c r="J53" i="5" s="1"/>
  <c r="H53" i="5"/>
  <c r="D5" i="7" l="1"/>
  <c r="B5" i="7" l="1"/>
  <c r="C7" i="7"/>
  <c r="J7" i="7"/>
  <c r="J5" i="7"/>
  <c r="G5" i="7"/>
  <c r="E5" i="7"/>
  <c r="I5" i="7"/>
  <c r="F5" i="7"/>
  <c r="H5" i="7"/>
  <c r="G7" i="7"/>
  <c r="C5" i="7"/>
  <c r="F7" i="7"/>
  <c r="E7" i="7"/>
  <c r="I7" i="7"/>
  <c r="D7" i="7"/>
  <c r="H7" i="7"/>
</calcChain>
</file>

<file path=xl/sharedStrings.xml><?xml version="1.0" encoding="utf-8"?>
<sst xmlns="http://schemas.openxmlformats.org/spreadsheetml/2006/main" count="397" uniqueCount="313">
  <si>
    <t>Identification générale</t>
  </si>
  <si>
    <t>Élément</t>
  </si>
  <si>
    <t>Contenu à renseigner</t>
  </si>
  <si>
    <t>Nom du projet</t>
  </si>
  <si>
    <t>Méga-barrage hydroélectrique sur le Yarlung Tsangpo</t>
  </si>
  <si>
    <t>Localisation</t>
  </si>
  <si>
    <t>Tibet (Chine), fleuve Yarlung Tsangpo (Brahmapoutre amont)</t>
  </si>
  <si>
    <t>Type d’investissement</t>
  </si>
  <si>
    <t>Infrastructure hydraulique et énergétique</t>
  </si>
  <si>
    <t>Objectif principal</t>
  </si>
  <si>
    <t>Production d’électricité + régulation hydrologique</t>
  </si>
  <si>
    <t>Décideur</t>
  </si>
  <si>
    <t>État chinois</t>
  </si>
  <si>
    <t>Scénario de référence</t>
  </si>
  <si>
    <t>Situation sans projet</t>
  </si>
  <si>
    <t>Situation avec projet</t>
  </si>
  <si>
    <t>Variation attendue</t>
  </si>
  <si>
    <t>Production énergétique</t>
  </si>
  <si>
    <t>Maintien mix actuel</t>
  </si>
  <si>
    <t>Forte augmentation hydro</t>
  </si>
  <si>
    <t>TWh +</t>
  </si>
  <si>
    <t>Gestion des crues</t>
  </si>
  <si>
    <t>Régulation limitée</t>
  </si>
  <si>
    <t>Amélioration partielle</t>
  </si>
  <si>
    <t>Dommages -</t>
  </si>
  <si>
    <t>Émissions CO2</t>
  </si>
  <si>
    <t>Élevées</t>
  </si>
  <si>
    <t>Réduction relative</t>
  </si>
  <si>
    <t>Tonnes CO2 -</t>
  </si>
  <si>
    <t>Développement</t>
  </si>
  <si>
    <t>Croissance stable</t>
  </si>
  <si>
    <t>Expansion régionale</t>
  </si>
  <si>
    <t>PIB local +</t>
  </si>
  <si>
    <t>Biodiversité</t>
  </si>
  <si>
    <t>État naturel</t>
  </si>
  <si>
    <t>Perturbation</t>
  </si>
  <si>
    <t>Services écosystémiques -</t>
  </si>
  <si>
    <t>Déplacements</t>
  </si>
  <si>
    <t>Non</t>
  </si>
  <si>
    <t>Oui</t>
  </si>
  <si>
    <t>Bien-être ménages -</t>
  </si>
  <si>
    <t>Stress hydrique</t>
  </si>
  <si>
    <t>Non maîtrisé</t>
  </si>
  <si>
    <t>Régulation partielle</t>
  </si>
  <si>
    <t>Variabilité débit -</t>
  </si>
  <si>
    <t>Débit vers Inde/Bangladesh</t>
  </si>
  <si>
    <t>Naturel</t>
  </si>
  <si>
    <t>Régulé par Chine</t>
  </si>
  <si>
    <t>idk, politique ?</t>
  </si>
  <si>
    <t>Production agricole aval</t>
  </si>
  <si>
    <t>Dépend du régime naturel</t>
  </si>
  <si>
    <t>Risque modification saisonnalité</t>
  </si>
  <si>
    <t>idk, probablement rendement -</t>
  </si>
  <si>
    <t>Sécurité eau aval</t>
  </si>
  <si>
    <t>Dépend climat</t>
  </si>
  <si>
    <t>Dépend gestion chinoise</t>
  </si>
  <si>
    <t>dépendance stratégique +</t>
  </si>
  <si>
    <t>Identification des impacts</t>
  </si>
  <si>
    <t>Catégorie</t>
  </si>
  <si>
    <t>Impact</t>
  </si>
  <si>
    <t>Acteurs concernés</t>
  </si>
  <si>
    <t>Sens</t>
  </si>
  <si>
    <t>Quantifiable ?</t>
  </si>
  <si>
    <t>Source à chercher</t>
  </si>
  <si>
    <t>Commentaire</t>
  </si>
  <si>
    <t>Social</t>
  </si>
  <si>
    <t>Déplacements population</t>
  </si>
  <si>
    <t>Population locale</t>
  </si>
  <si>
    <t>-</t>
  </si>
  <si>
    <t>Three Gorges</t>
  </si>
  <si>
    <t>relocalisation forcée</t>
  </si>
  <si>
    <t>Développement régional</t>
  </si>
  <si>
    <t>Région Tibet</t>
  </si>
  <si>
    <t>+</t>
  </si>
  <si>
    <t>Partiel</t>
  </si>
  <si>
    <t>études barrages</t>
  </si>
  <si>
    <t>effet multiplicateur</t>
  </si>
  <si>
    <t>Hydrologie</t>
  </si>
  <si>
    <t>Régulation crues</t>
  </si>
  <si>
    <t>Population aval</t>
  </si>
  <si>
    <t>données inondations</t>
  </si>
  <si>
    <t>réduction dommages</t>
  </si>
  <si>
    <t>Modification débit saisonnier</t>
  </si>
  <si>
    <t>Inde / Bangladesh</t>
  </si>
  <si>
    <t>idk</t>
  </si>
  <si>
    <t>Difficile</t>
  </si>
  <si>
    <t>études fleuves transfrontaliers</t>
  </si>
  <si>
    <t>dépend gestion barrage</t>
  </si>
  <si>
    <t>Géopolitique</t>
  </si>
  <si>
    <t>Tensions hydriques régionales</t>
  </si>
  <si>
    <t>Inde / Bangladesh / Chine</t>
  </si>
  <si>
    <t>analyses géopolitiques</t>
  </si>
  <si>
    <t>externalité politique</t>
  </si>
  <si>
    <t>Environnement</t>
  </si>
  <si>
    <t>Perturbation biodiversité fluviale</t>
  </si>
  <si>
    <t>Écosystèmes locaux</t>
  </si>
  <si>
    <t>études écologiques</t>
  </si>
  <si>
    <t>fragmentation habitats</t>
  </si>
  <si>
    <t>Modification transport sédiments</t>
  </si>
  <si>
    <t>Agriculture aval</t>
  </si>
  <si>
    <t>hydrologie fleuves</t>
  </si>
  <si>
    <t>impact sols aval</t>
  </si>
  <si>
    <t>Énergie</t>
  </si>
  <si>
    <t>Production hydroélectrique supplémentaire</t>
  </si>
  <si>
    <t>Chine (ménages, industrie)</t>
  </si>
  <si>
    <t>capacité barrage, TWh</t>
  </si>
  <si>
    <t>Bénéfice principal</t>
  </si>
  <si>
    <t>Réduction production charbon</t>
  </si>
  <si>
    <t>Chine</t>
  </si>
  <si>
    <t>mix énergétique</t>
  </si>
  <si>
    <t>substitution énergétique</t>
  </si>
  <si>
    <t>Économie</t>
  </si>
  <si>
    <t>Coût construction barrage</t>
  </si>
  <si>
    <t>coût projet</t>
  </si>
  <si>
    <t>investissement initial</t>
  </si>
  <si>
    <t>Coût maintenance infrastructure</t>
  </si>
  <si>
    <t>barrages comparables</t>
  </si>
  <si>
    <t>coût annuel</t>
  </si>
  <si>
    <t>Création emplois construction</t>
  </si>
  <si>
    <t>projets similaires</t>
  </si>
  <si>
    <t>effet temporaire</t>
  </si>
  <si>
    <t>Eau</t>
  </si>
  <si>
    <t>Sécurisation ressource hydrique</t>
  </si>
  <si>
    <t>hydrologie</t>
  </si>
  <si>
    <t>stockage eau</t>
  </si>
  <si>
    <t>Dépendance à infrastructure</t>
  </si>
  <si>
    <t>analyse système</t>
  </si>
  <si>
    <t>vulnérabilité</t>
  </si>
  <si>
    <t>Climat</t>
  </si>
  <si>
    <t>Réduction émissions CO2</t>
  </si>
  <si>
    <t>Monde</t>
  </si>
  <si>
    <t>facteur émissions charbon</t>
  </si>
  <si>
    <t>bénéfice climatique global</t>
  </si>
  <si>
    <t>Méthodes de valorisation</t>
  </si>
  <si>
    <t>Type</t>
  </si>
  <si>
    <t>Méthode de valorisation</t>
  </si>
  <si>
    <t>Données nécessaires</t>
  </si>
  <si>
    <t>Unité</t>
  </si>
  <si>
    <t>Source</t>
  </si>
  <si>
    <t>Coût social</t>
  </si>
  <si>
    <t>Coût de relocalisation + compensation par ménage</t>
  </si>
  <si>
    <t>Nombre de personnes déplacées, coût moyen de relocalisation</t>
  </si>
  <si>
    <t>€</t>
  </si>
  <si>
    <t>Études du barrage des Trois-Gorges</t>
  </si>
  <si>
    <t>Bénéfice économique</t>
  </si>
  <si>
    <t>Effet multiplicateur investissement / augmentation PIB régional</t>
  </si>
  <si>
    <t>Investissement total, multiplicateur régional</t>
  </si>
  <si>
    <t>€ / an</t>
  </si>
  <si>
    <t>Littérature barrages / développement régional</t>
  </si>
  <si>
    <t>Bénéfice</t>
  </si>
  <si>
    <t>Coûts historiques des inondations, fréquence des crues</t>
  </si>
  <si>
    <t>Bases catastrophes naturelles</t>
  </si>
  <si>
    <t>Impact mixte</t>
  </si>
  <si>
    <t>Variation production agricole aval</t>
  </si>
  <si>
    <t>Débits fleuve, rendement agricole, surfaces cultivées</t>
  </si>
  <si>
    <t>Études hydrologiques Brahmapoutre</t>
  </si>
  <si>
    <t>Coût potentiel</t>
  </si>
  <si>
    <t>Analyse qualitative ou proxy coûts diplomatiques / économiques</t>
  </si>
  <si>
    <t>Indicateurs tensions eau transfrontalières</t>
  </si>
  <si>
    <t>qualitatif</t>
  </si>
  <si>
    <t>Études géopolitiques de l’eau</t>
  </si>
  <si>
    <t>Coût environnemental</t>
  </si>
  <si>
    <t>Valeur des services écosystémiques perdus</t>
  </si>
  <si>
    <t>Valeur écosystèmes fluviaux / ha</t>
  </si>
  <si>
    <t>Études services écosystémiques</t>
  </si>
  <si>
    <t>Coût économique</t>
  </si>
  <si>
    <t>Impact sur fertilité sols / agriculture aval</t>
  </si>
  <si>
    <t>Quantité sédiments, rendement agricole</t>
  </si>
  <si>
    <t>Études hydrologie fleuves</t>
  </si>
  <si>
    <t>Prix électricité × production hydro</t>
  </si>
  <si>
    <t>Production annuelle (TWh), prix électricité</t>
  </si>
  <si>
    <t>International Energy Agency</t>
  </si>
  <si>
    <t>Bénéfice climatique</t>
  </si>
  <si>
    <t>Émissions charbon évitées × prix carbone</t>
  </si>
  <si>
    <t>Coût investissement</t>
  </si>
  <si>
    <t>Coût total du projet</t>
  </si>
  <si>
    <t>Coût construction estimé</t>
  </si>
  <si>
    <t>Rapports infrastructures</t>
  </si>
  <si>
    <t>Coût</t>
  </si>
  <si>
    <t>% du coût initial par an</t>
  </si>
  <si>
    <t>Coût barrage initial</t>
  </si>
  <si>
    <t>Littérature hydropower</t>
  </si>
  <si>
    <t>Bénéfice social</t>
  </si>
  <si>
    <t>Salaire moyen × emplois créés</t>
  </si>
  <si>
    <t>Nombre emplois, salaire moyen</t>
  </si>
  <si>
    <t>Projets comparables</t>
  </si>
  <si>
    <t>Valeur économique de l’eau stockée</t>
  </si>
  <si>
    <t>Volume stockage, valeur eau</t>
  </si>
  <si>
    <t>Études économie de l’eau</t>
  </si>
  <si>
    <t>Analyse qualitative (risque systémique)</t>
  </si>
  <si>
    <t>Probabilité défaillance, coût rupture</t>
  </si>
  <si>
    <t>Analyse risques barrages</t>
  </si>
  <si>
    <t>Bénéfice global</t>
  </si>
  <si>
    <t>IPCC / politiques carbone</t>
  </si>
  <si>
    <t>Tableau des paramètres d'entrée et données manquantes</t>
  </si>
  <si>
    <t>PARAMÈTRES CLÉS</t>
  </si>
  <si>
    <t>Valeur centrale</t>
  </si>
  <si>
    <t>Colonne1</t>
  </si>
  <si>
    <t>Colonne2</t>
  </si>
  <si>
    <t>Colonne3</t>
  </si>
  <si>
    <t>Coût construction CAPEX</t>
  </si>
  <si>
    <t>M$</t>
  </si>
  <si>
    <t>RFA/Wikipedia/yale</t>
  </si>
  <si>
    <t>https://www.rfa.org/english/tibet/2024/12/27/tibet-china-approves-mega-dam-construction/</t>
  </si>
  <si>
    <t>https://en.wikipedia.org/wiki/Medog_Hydropower_Station</t>
  </si>
  <si>
    <t>https://e360.yale.edu/features/china-tibet-yarlung-tsangpo-dam-india-water</t>
  </si>
  <si>
    <t>Durée de vie projet</t>
  </si>
  <si>
    <t>ans</t>
  </si>
  <si>
    <t>Standard hydroélectrique</t>
  </si>
  <si>
    <t>https://unu.edu/press-release/ageing-dams-pose-growing-threat</t>
  </si>
  <si>
    <t>Taux d'actualisation</t>
  </si>
  <si>
    <t>%</t>
  </si>
  <si>
    <t>Référence Quinet (France, approche académique)</t>
  </si>
  <si>
    <t>Quinet, A. (2013), L'évaluation socioéconomique des investissements publics, Commissariat Général à la Stratégie et à la Prospective</t>
  </si>
  <si>
    <t>Production annuelle</t>
  </si>
  <si>
    <t>Twh/an</t>
  </si>
  <si>
    <t>capacité annoncée, non mesurée</t>
  </si>
  <si>
    <t>Prix électricité (industrie Chine)</t>
  </si>
  <si>
    <t>$/kwh</t>
  </si>
  <si>
    <t>0,66 CNY/kWh * 0,145</t>
  </si>
  <si>
    <t>Intratec, 2025</t>
  </si>
  <si>
    <t>https://www.intratec.us/solutions/energy-prices-markets/commodity/electricity-price-china</t>
  </si>
  <si>
    <t>gCO2/kwh</t>
  </si>
  <si>
    <t>IEA / Ember</t>
  </si>
  <si>
    <t>IPCC (2014), Climate Change 2014: Mitigation of Climate Change, Annex III, Table A.III.2, p. 1335. Accessible via : https://www.ipcc.ch/report/ar5/wg3/</t>
  </si>
  <si>
    <t>Prix carbone ETS Chine</t>
  </si>
  <si>
    <t>$/tCO2</t>
  </si>
  <si>
    <t>prix très bas comparé à l'EU ETS (70-80 €/t) pas prix du marché mais projection</t>
  </si>
  <si>
    <t>China-Briefing, nov.2024</t>
  </si>
  <si>
    <t>https://www.china-briefing.com/news/china-carbon-trading-emissions-cap/</t>
  </si>
  <si>
    <t>Ménages déplacés</t>
  </si>
  <si>
    <t>M"nage</t>
  </si>
  <si>
    <t>15000pop/3,19 personnes/ménage</t>
  </si>
  <si>
    <t>CEIC Data/Wikipedia</t>
  </si>
  <si>
    <t>https://www.ceicdata.com/en/china/population-no-of-person-per-household/population-average-household-size-tibet</t>
  </si>
  <si>
    <t>https://en.wikipedia.org/wiki/M%C3%AAdog_County</t>
  </si>
  <si>
    <t>Coût relocalisation/ménage</t>
  </si>
  <si>
    <t>$</t>
  </si>
  <si>
    <t>9 645,872 au m2 * 111,18 * 0,145</t>
  </si>
  <si>
    <t>CEIC Data/EqualOcean</t>
  </si>
  <si>
    <t>https://www.ceicdata.com/en/china/nbs-property-price-monthly/property-price-ytd-avg-tibet</t>
  </si>
  <si>
    <t>https://equalocean.com/briefing/20220628230147939</t>
  </si>
  <si>
    <t>Dommages crues annuels</t>
  </si>
  <si>
    <t>barrage au fil de l'eau sans réservoir significatif, capacité de régulation des crues négligeable</t>
  </si>
  <si>
    <t>Maintenance annuelle (% CAPEX)</t>
  </si>
  <si>
    <t>IRENA (2012), Cost Analysis of Hydropower, Working Paper, Volume 1: Power Sector, Issue 3/5, International Renewable Energy Agency, Abu Dhabi, p. 24.</t>
  </si>
  <si>
    <t>Valeurs services écosystémiques</t>
  </si>
  <si>
    <t>Non monétisé. Projet run-of-river sans réservoir significatif documenté. Surface impactée non disponible en l'absence d'EIE publique. Valeur de référence disponible : 4 267 Int$/ha/an (de Groot et al., 2012, Rivers and Lakes biome). Impact qualitatif documenté : 79,57% du comté de Medog classé zone écologique extrêmement importante (Duan et al., 2022)</t>
  </si>
  <si>
    <t>Table 3, p.55, de Groot et al., 2012, Ecosystem Services, vol.1</t>
  </si>
  <si>
    <t>Flux socio-économiques du projet</t>
  </si>
  <si>
    <t>FLUX ANNUELS (M€/an)</t>
  </si>
  <si>
    <t>Valeur calculée</t>
  </si>
  <si>
    <t>(+) Recettes vente électricité</t>
  </si>
  <si>
    <t>(+) Dommages crues évités</t>
  </si>
  <si>
    <t>(-) Maintenance annuelle</t>
  </si>
  <si>
    <t>(-) Relocalisation</t>
  </si>
  <si>
    <t>Synthèse</t>
  </si>
  <si>
    <t>Bénéfices annuels bruts (M$/an)</t>
  </si>
  <si>
    <t>Coûts annuels totaux (M$/an)</t>
  </si>
  <si>
    <t>Flux net annuel (M$/an)</t>
  </si>
  <si>
    <t>VAN socio-éco (Mrd $)  [hors externalités non monétisées]</t>
  </si>
  <si>
    <t>Année</t>
  </si>
  <si>
    <t>Facteur
actu. (4,5%)</t>
  </si>
  <si>
    <t>(-) CAPEX
(M$)</t>
  </si>
  <si>
    <t>(+) Recettes
élec. (M$)</t>
  </si>
  <si>
    <t>(-) Maintenance
(M$)</t>
  </si>
  <si>
    <t>(-) Relocalisation
(M$)</t>
  </si>
  <si>
    <t>Flux net
brut (M$)</t>
  </si>
  <si>
    <t>Flux net
actualisé (M$)</t>
  </si>
  <si>
    <t>VAN
cumulée (Mrd $)</t>
  </si>
  <si>
    <t>Indicateur</t>
  </si>
  <si>
    <t>Valeur</t>
  </si>
  <si>
    <t>VAN-SE (Mrd $)</t>
  </si>
  <si>
    <t>TRI</t>
  </si>
  <si>
    <t>Bilan coûts actualisés (M$)</t>
  </si>
  <si>
    <t>Bilan bénéfices actualisés (M$)</t>
  </si>
  <si>
    <t>VAN / € investi (CAPEX)</t>
  </si>
  <si>
    <t>Flux net annuel moyen (M$)</t>
  </si>
  <si>
    <t>TOTAL</t>
  </si>
  <si>
    <t>Impacts sur la VAN-SE de scénarii de stress (Mrd $)</t>
  </si>
  <si>
    <t>Facteur rente exploitation (calculé)</t>
  </si>
  <si>
    <t>Benchmark</t>
  </si>
  <si>
    <t>CAPEX
+10%</t>
  </si>
  <si>
    <t>Maintenance
+10%</t>
  </si>
  <si>
    <t>Total coûts
+10%</t>
  </si>
  <si>
    <t>Production
–10%</t>
  </si>
  <si>
    <t>Prix élec.
–10%</t>
  </si>
  <si>
    <t>Choc</t>
  </si>
  <si>
    <t>CAPEX +10%</t>
  </si>
  <si>
    <t>Maint. +10%</t>
  </si>
  <si>
    <t>Coûts +10%</t>
  </si>
  <si>
    <t>Delta valeur (Mrd $)</t>
  </si>
  <si>
    <t>Taux d'impact (%)</t>
  </si>
  <si>
    <t>Production
+10%</t>
  </si>
  <si>
    <t>Prix élec.
+10%</t>
  </si>
  <si>
    <t>Prod. +10%</t>
  </si>
  <si>
    <t>Prix élec. +10%</t>
  </si>
  <si>
    <t>Y</t>
  </si>
  <si>
    <t>N</t>
  </si>
  <si>
    <t>Dommages d’inondations évités</t>
  </si>
  <si>
    <t>A</t>
  </si>
  <si>
    <t>Facteur CO2charbon, production substituée</t>
  </si>
  <si>
    <t>Tonnes CO2évitées × valeur carbone</t>
  </si>
  <si>
    <t>tCO2évitées, prix carbone</t>
  </si>
  <si>
    <t>Facteur CO2charbon substitué</t>
  </si>
  <si>
    <t>(+) Valorisation CO2évité (ETS)</t>
  </si>
  <si>
    <t>Prix CO2+10%</t>
  </si>
  <si>
    <t>Prix CO2
+10%</t>
  </si>
  <si>
    <t>(+) Val. CO2
(M$)</t>
  </si>
  <si>
    <t>Note : VAN = Flux_net × [(1-(1+i)^-n)/i] − CAPEX,  i = taux actualisation, n = durée de vie.</t>
  </si>
  <si>
    <t>Prod. -10%</t>
  </si>
  <si>
    <t>Prix -10%</t>
  </si>
  <si>
    <t>VAN socio-économique -- Yarlung Tsangpo (2025–2074)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</si>
</sst>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"/>
    <numFmt numFmtId="165" formatCode="#,##0.0"/>
    <numFmt numFmtId="166" formatCode="#,##0.000"/>
    <numFmt numFmtId="167" formatCode="0.000"/>
    <numFmt numFmtId="168" formatCode="\+#,##0.000;\-#,##0.000"/>
    <numFmt numFmtId="169" formatCode="\+0.0%;\-0.0%"/>
  </numFmts>
  <fonts count="27" x14ac:knownFonts="1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  <font>
      <i/>
      <sz val="9"/>
      <color rgb="FF000000"/>
      <name val="Calibri"/>
      <charset val="1"/>
    </font>
    <font>
      <sz val="11"/>
      <color theme="1"/>
      <name val="Calibri"/>
      <family val="2"/>
      <charset val="1"/>
    </font>
    <font>
      <b/>
      <sz val="10"/>
      <color theme="9" tint="-0.499984740745262"/>
      <name val="Calibri"/>
      <family val="2"/>
    </font>
    <font>
      <sz val="10"/>
      <color theme="9" tint="-0.499984740745262"/>
      <name val="Calibri"/>
      <family val="2"/>
    </font>
    <font>
      <b/>
      <sz val="14"/>
      <color rgb="FFFFFFFF"/>
      <name val="Calibri"/>
      <family val="2"/>
    </font>
    <font>
      <b/>
      <sz val="11"/>
      <color theme="9" tint="-0.499984740745262"/>
      <name val="Calibri"/>
      <family val="2"/>
      <charset val="1"/>
    </font>
    <font>
      <sz val="11"/>
      <color theme="9" tint="-0.499984740745262"/>
      <name val="Calibri"/>
      <family val="2"/>
    </font>
    <font>
      <b/>
      <sz val="10"/>
      <color theme="9" tint="-0.499984740745262"/>
      <name val="Calibri"/>
      <family val="2"/>
      <charset val="1"/>
    </font>
    <font>
      <b/>
      <sz val="14"/>
      <color theme="0"/>
      <name val="Calibri"/>
      <family val="2"/>
      <charset val="1"/>
    </font>
    <font>
      <b/>
      <sz val="14"/>
      <color theme="0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9"/>
      <name val="Calibri"/>
      <family val="2"/>
    </font>
    <font>
      <i/>
      <sz val="11"/>
      <color theme="1"/>
      <name val="Calibri"/>
      <family val="2"/>
    </font>
    <font>
      <sz val="10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8"/>
      <name val="Calibri"/>
      <family val="2"/>
    </font>
    <font>
      <sz val="8"/>
      <name val="Calibri"/>
      <family val="2"/>
    </font>
    <font>
      <i/>
      <sz val="9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9" tint="-0.499984740745262"/>
        <bgColor rgb="FF003366"/>
      </patternFill>
    </fill>
    <fill>
      <patternFill patternType="solid">
        <fgColor theme="9" tint="0.59999389629810485"/>
        <bgColor rgb="FFDAE3F3"/>
      </patternFill>
    </fill>
    <fill>
      <patternFill patternType="solid">
        <fgColor theme="9" tint="-0.499984740745262"/>
        <bgColor rgb="FFD9E1F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9" tint="0.79998168889431442"/>
        <bgColor rgb="FFDAE3F3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499984740745262"/>
        <bgColor rgb="FF336600"/>
      </patternFill>
    </fill>
    <fill>
      <patternFill patternType="solid">
        <fgColor theme="9" tint="0.59987182226020086"/>
        <bgColor rgb="FFD9D9D9"/>
      </patternFill>
    </fill>
    <fill>
      <patternFill patternType="solid">
        <fgColor theme="9" tint="0.79989013336588644"/>
        <bgColor rgb="FFF2F2F2"/>
      </patternFill>
    </fill>
    <fill>
      <patternFill patternType="solid">
        <fgColor theme="9" tint="-0.249977111117893"/>
        <bgColor rgb="FF339966"/>
      </patternFill>
    </fill>
  </fills>
  <borders count="2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08">
    <xf numFmtId="0" fontId="0" fillId="0" borderId="0" xfId="0"/>
    <xf numFmtId="0" fontId="0" fillId="0" borderId="0" xfId="0" applyAlignment="1">
      <alignment vertical="center" wrapText="1"/>
    </xf>
    <xf numFmtId="0" fontId="12" fillId="4" borderId="1" xfId="0" applyFont="1" applyFill="1" applyBorder="1" applyAlignment="1">
      <alignment horizontal="center" vertical="center"/>
    </xf>
    <xf numFmtId="0" fontId="0" fillId="0" borderId="0" xfId="0" applyBorder="1"/>
    <xf numFmtId="0" fontId="6" fillId="3" borderId="5" xfId="0" applyFont="1" applyFill="1" applyBorder="1" applyAlignment="1">
      <alignment horizontal="center" vertical="center" wrapText="1"/>
    </xf>
    <xf numFmtId="166" fontId="2" fillId="0" borderId="5" xfId="0" applyNumberFormat="1" applyFont="1" applyFill="1" applyBorder="1" applyAlignment="1">
      <alignment horizontal="righ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righ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168" fontId="3" fillId="0" borderId="5" xfId="0" applyNumberFormat="1" applyFont="1" applyFill="1" applyBorder="1" applyAlignment="1">
      <alignment horizontal="right" vertical="center" wrapText="1"/>
    </xf>
    <xf numFmtId="169" fontId="3" fillId="0" borderId="5" xfId="0" applyNumberFormat="1" applyFont="1" applyFill="1" applyBorder="1" applyAlignment="1">
      <alignment horizontal="right"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13" fillId="6" borderId="5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2" fillId="4" borderId="5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 wrapText="1"/>
    </xf>
    <xf numFmtId="0" fontId="12" fillId="4" borderId="17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0" fontId="12" fillId="4" borderId="19" xfId="0" applyFont="1" applyFill="1" applyBorder="1" applyAlignment="1">
      <alignment horizontal="center" vertical="center"/>
    </xf>
    <xf numFmtId="0" fontId="7" fillId="7" borderId="6" xfId="0" applyFont="1" applyFill="1" applyBorder="1"/>
    <xf numFmtId="0" fontId="0" fillId="0" borderId="7" xfId="0" applyBorder="1"/>
    <xf numFmtId="0" fontId="0" fillId="0" borderId="8" xfId="0" applyBorder="1"/>
    <xf numFmtId="0" fontId="7" fillId="7" borderId="9" xfId="0" applyFont="1" applyFill="1" applyBorder="1"/>
    <xf numFmtId="0" fontId="12" fillId="4" borderId="20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6" fillId="5" borderId="9" xfId="0" applyFont="1" applyFill="1" applyBorder="1"/>
    <xf numFmtId="0" fontId="6" fillId="5" borderId="10" xfId="0" applyFont="1" applyFill="1" applyBorder="1"/>
    <xf numFmtId="0" fontId="6" fillId="5" borderId="11" xfId="0" applyFont="1" applyFill="1" applyBorder="1"/>
    <xf numFmtId="0" fontId="0" fillId="0" borderId="11" xfId="0" applyBorder="1"/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vertical="center" wrapText="1"/>
    </xf>
    <xf numFmtId="0" fontId="10" fillId="7" borderId="9" xfId="0" applyFont="1" applyFill="1" applyBorder="1" applyAlignment="1">
      <alignment vertical="center" wrapText="1"/>
    </xf>
    <xf numFmtId="0" fontId="1" fillId="10" borderId="5" xfId="0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10" borderId="5" xfId="0" applyFill="1" applyBorder="1" applyAlignment="1">
      <alignment vertical="center"/>
    </xf>
    <xf numFmtId="0" fontId="6" fillId="5" borderId="9" xfId="0" applyFont="1" applyFill="1" applyBorder="1" applyAlignment="1">
      <alignment vertical="center"/>
    </xf>
    <xf numFmtId="0" fontId="6" fillId="5" borderId="10" xfId="0" applyFont="1" applyFill="1" applyBorder="1" applyAlignment="1">
      <alignment vertical="center"/>
    </xf>
    <xf numFmtId="0" fontId="6" fillId="5" borderId="11" xfId="0" applyFont="1" applyFill="1" applyBorder="1" applyAlignment="1">
      <alignment vertical="center"/>
    </xf>
    <xf numFmtId="0" fontId="7" fillId="7" borderId="6" xfId="0" applyFont="1" applyFill="1" applyBorder="1" applyAlignment="1">
      <alignment vertical="center"/>
    </xf>
    <xf numFmtId="0" fontId="0" fillId="0" borderId="7" xfId="0" applyBorder="1" applyAlignment="1">
      <alignment vertical="center"/>
    </xf>
    <xf numFmtId="0" fontId="7" fillId="7" borderId="9" xfId="0" applyFont="1" applyFill="1" applyBorder="1" applyAlignment="1">
      <alignment vertical="center"/>
    </xf>
    <xf numFmtId="0" fontId="0" fillId="0" borderId="10" xfId="0" applyBorder="1" applyAlignment="1">
      <alignment vertical="center"/>
    </xf>
    <xf numFmtId="3" fontId="0" fillId="0" borderId="7" xfId="0" applyNumberFormat="1" applyBorder="1" applyAlignment="1">
      <alignment vertical="center"/>
    </xf>
    <xf numFmtId="0" fontId="16" fillId="0" borderId="0" xfId="0" applyFont="1"/>
    <xf numFmtId="0" fontId="17" fillId="3" borderId="9" xfId="0" applyFont="1" applyFill="1" applyBorder="1" applyAlignment="1">
      <alignment horizontal="left" vertical="center" wrapText="1"/>
    </xf>
    <xf numFmtId="0" fontId="17" fillId="8" borderId="12" xfId="0" applyFont="1" applyFill="1" applyBorder="1" applyAlignment="1">
      <alignment horizontal="left" vertical="center" wrapText="1"/>
    </xf>
    <xf numFmtId="0" fontId="17" fillId="9" borderId="9" xfId="0" applyFont="1" applyFill="1" applyBorder="1" applyAlignment="1">
      <alignment horizontal="left" vertical="center" wrapText="1"/>
    </xf>
    <xf numFmtId="0" fontId="18" fillId="0" borderId="0" xfId="0" applyFont="1" applyFill="1" applyBorder="1" applyAlignment="1">
      <alignment horizontal="left" vertical="center" wrapText="1"/>
    </xf>
    <xf numFmtId="0" fontId="18" fillId="9" borderId="12" xfId="0" applyFont="1" applyFill="1" applyBorder="1" applyAlignment="1">
      <alignment horizontal="left" vertical="center" wrapText="1"/>
    </xf>
    <xf numFmtId="0" fontId="18" fillId="8" borderId="9" xfId="0" applyFont="1" applyFill="1" applyBorder="1" applyAlignment="1">
      <alignment horizontal="left" vertical="center" wrapText="1"/>
    </xf>
    <xf numFmtId="0" fontId="18" fillId="8" borderId="12" xfId="0" applyFont="1" applyFill="1" applyBorder="1" applyAlignment="1">
      <alignment horizontal="left" vertical="center" wrapText="1"/>
    </xf>
    <xf numFmtId="0" fontId="18" fillId="9" borderId="9" xfId="0" applyFont="1" applyFill="1" applyBorder="1" applyAlignment="1">
      <alignment horizontal="left" vertical="center" wrapText="1"/>
    </xf>
    <xf numFmtId="0" fontId="17" fillId="3" borderId="11" xfId="0" applyFont="1" applyFill="1" applyBorder="1" applyAlignment="1">
      <alignment horizontal="right" vertical="center" wrapText="1"/>
    </xf>
    <xf numFmtId="166" fontId="15" fillId="0" borderId="14" xfId="0" applyNumberFormat="1" applyFont="1" applyFill="1" applyBorder="1" applyAlignment="1">
      <alignment horizontal="right" vertical="center" wrapText="1"/>
    </xf>
    <xf numFmtId="10" fontId="15" fillId="0" borderId="11" xfId="0" applyNumberFormat="1" applyFont="1" applyFill="1" applyBorder="1" applyAlignment="1">
      <alignment horizontal="right" vertical="center" wrapText="1"/>
    </xf>
    <xf numFmtId="0" fontId="14" fillId="0" borderId="0" xfId="0" applyFont="1" applyFill="1" applyBorder="1" applyAlignment="1">
      <alignment horizontal="right" vertical="center" wrapText="1"/>
    </xf>
    <xf numFmtId="165" fontId="14" fillId="0" borderId="14" xfId="0" applyNumberFormat="1" applyFont="1" applyFill="1" applyBorder="1" applyAlignment="1">
      <alignment horizontal="right" vertical="center" wrapText="1"/>
    </xf>
    <xf numFmtId="165" fontId="14" fillId="0" borderId="11" xfId="0" applyNumberFormat="1" applyFont="1" applyFill="1" applyBorder="1" applyAlignment="1">
      <alignment horizontal="right" vertical="center" wrapText="1"/>
    </xf>
    <xf numFmtId="4" fontId="14" fillId="0" borderId="14" xfId="0" applyNumberFormat="1" applyFont="1" applyFill="1" applyBorder="1" applyAlignment="1">
      <alignment horizontal="right" vertical="center" wrapText="1"/>
    </xf>
    <xf numFmtId="0" fontId="0" fillId="0" borderId="0" xfId="0" applyFill="1" applyBorder="1" applyAlignment="1">
      <alignment vertical="center" wrapText="1"/>
    </xf>
    <xf numFmtId="0" fontId="20" fillId="0" borderId="5" xfId="0" applyFont="1" applyBorder="1" applyAlignment="1">
      <alignment horizontal="center" vertical="center"/>
    </xf>
    <xf numFmtId="0" fontId="9" fillId="12" borderId="9" xfId="0" applyFont="1" applyFill="1" applyBorder="1" applyAlignment="1">
      <alignment horizontal="center" vertical="center" wrapText="1"/>
    </xf>
    <xf numFmtId="0" fontId="9" fillId="12" borderId="10" xfId="0" applyFont="1" applyFill="1" applyBorder="1" applyAlignment="1">
      <alignment horizontal="center" vertical="center" wrapText="1"/>
    </xf>
    <xf numFmtId="0" fontId="9" fillId="12" borderId="11" xfId="0" applyFont="1" applyFill="1" applyBorder="1" applyAlignment="1">
      <alignment horizontal="center" vertical="center" wrapText="1"/>
    </xf>
    <xf numFmtId="1" fontId="9" fillId="12" borderId="6" xfId="0" applyNumberFormat="1" applyFont="1" applyFill="1" applyBorder="1" applyAlignment="1">
      <alignment horizontal="center" vertical="center" wrapText="1"/>
    </xf>
    <xf numFmtId="164" fontId="21" fillId="13" borderId="7" xfId="0" applyNumberFormat="1" applyFont="1" applyFill="1" applyBorder="1" applyAlignment="1">
      <alignment horizontal="right" vertical="center" wrapText="1"/>
    </xf>
    <xf numFmtId="165" fontId="21" fillId="13" borderId="7" xfId="0" applyNumberFormat="1" applyFont="1" applyFill="1" applyBorder="1" applyAlignment="1">
      <alignment horizontal="right" vertical="center" wrapText="1"/>
    </xf>
    <xf numFmtId="165" fontId="22" fillId="13" borderId="7" xfId="0" applyNumberFormat="1" applyFont="1" applyFill="1" applyBorder="1" applyAlignment="1">
      <alignment horizontal="right" vertical="center" wrapText="1"/>
    </xf>
    <xf numFmtId="166" fontId="22" fillId="13" borderId="8" xfId="0" applyNumberFormat="1" applyFont="1" applyFill="1" applyBorder="1" applyAlignment="1">
      <alignment horizontal="right" vertical="center" wrapText="1"/>
    </xf>
    <xf numFmtId="0" fontId="23" fillId="14" borderId="6" xfId="0" applyFont="1" applyFill="1" applyBorder="1" applyAlignment="1">
      <alignment horizontal="center" vertical="center"/>
    </xf>
    <xf numFmtId="0" fontId="23" fillId="14" borderId="7" xfId="0" applyFont="1" applyFill="1" applyBorder="1" applyAlignment="1">
      <alignment horizontal="right" vertical="center"/>
    </xf>
    <xf numFmtId="165" fontId="23" fillId="14" borderId="7" xfId="0" applyNumberFormat="1" applyFont="1" applyFill="1" applyBorder="1" applyAlignment="1">
      <alignment horizontal="right" vertical="center"/>
    </xf>
    <xf numFmtId="166" fontId="23" fillId="14" borderId="8" xfId="0" applyNumberFormat="1" applyFont="1" applyFill="1" applyBorder="1" applyAlignment="1">
      <alignment horizontal="right" vertical="center"/>
    </xf>
    <xf numFmtId="0" fontId="12" fillId="11" borderId="2" xfId="0" applyFont="1" applyFill="1" applyBorder="1" applyAlignment="1">
      <alignment horizontal="center" vertical="center"/>
    </xf>
    <xf numFmtId="0" fontId="12" fillId="11" borderId="3" xfId="0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25" fillId="0" borderId="0" xfId="0" applyFont="1" applyBorder="1" applyAlignment="1">
      <alignment horizontal="left"/>
    </xf>
    <xf numFmtId="167" fontId="24" fillId="0" borderId="0" xfId="0" applyNumberFormat="1" applyFont="1" applyBorder="1" applyAlignment="1">
      <alignment horizontal="right"/>
    </xf>
    <xf numFmtId="0" fontId="4" fillId="0" borderId="0" xfId="0" applyFont="1" applyFill="1" applyBorder="1" applyAlignment="1">
      <alignment horizontal="left" vertical="center" wrapText="1"/>
    </xf>
    <xf numFmtId="0" fontId="0" fillId="0" borderId="0" xfId="0" applyFill="1" applyBorder="1"/>
    <xf numFmtId="0" fontId="26" fillId="0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6000000}"/>
  </cellStyles>
  <dxfs count="1">
    <dxf>
      <font>
        <b val="0"/>
        <strike val="0"/>
        <outline val="0"/>
        <shadow val="0"/>
        <u val="none"/>
        <vertAlign val="baseline"/>
        <sz val="10"/>
        <color theme="9" tint="-0.499984740745262"/>
        <name val="Calibri"/>
        <family val="2"/>
        <scheme val="none"/>
      </font>
      <fill>
        <patternFill patternType="solid">
          <fgColor indexed="64"/>
          <bgColor theme="9" tint="0.7999816888943144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88888"/>
      <rgbColor rgb="FF9999FF"/>
      <rgbColor rgb="FF993366"/>
      <rgbColor rgb="FFF2F2F2"/>
      <rgbColor rgb="FFDAE3F3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6600"/>
      <color rgb="FF003300"/>
      <color rgb="FFCCFF99"/>
      <color rgb="FF669900"/>
      <color rgb="FFCCFFCC"/>
      <color rgb="FFFFCCFF"/>
      <color rgb="FF99CCFF"/>
      <color rgb="FFCCECFF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Tableau10" displayName="Tableau10" ref="A25:B28" headerRowCount="0" totalsRowShown="0">
  <tableColumns count="2">
    <tableColumn id="1" xr3:uid="{00000000-0010-0000-0400-000001000000}" name="Colonne1" dataDxfId="0"/>
    <tableColumn id="2" xr3:uid="{00000000-0010-0000-0400-000002000000}" name="Colonne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tratec.us/solutions/energy-prices-markets/commodity/electricity-price-china" TargetMode="External"/><Relationship Id="rId13" Type="http://schemas.openxmlformats.org/officeDocument/2006/relationships/hyperlink" Target="https://equalocean.com/briefing/20220628230147939" TargetMode="External"/><Relationship Id="rId3" Type="http://schemas.openxmlformats.org/officeDocument/2006/relationships/hyperlink" Target="https://e360.yale.edu/features/china-tibet-yarlung-tsangpo-dam-india-water" TargetMode="External"/><Relationship Id="rId7" Type="http://schemas.openxmlformats.org/officeDocument/2006/relationships/hyperlink" Target="https://e360.yale.edu/features/china-tibet-yarlung-tsangpo-dam-india-water" TargetMode="External"/><Relationship Id="rId12" Type="http://schemas.openxmlformats.org/officeDocument/2006/relationships/hyperlink" Target="https://www.ceicdata.com/en/china/nbs-property-price-monthly/property-price-ytd-avg-tibet" TargetMode="External"/><Relationship Id="rId2" Type="http://schemas.openxmlformats.org/officeDocument/2006/relationships/hyperlink" Target="https://en.wikipedia.org/wiki/Medog_Hydropower_Station" TargetMode="External"/><Relationship Id="rId1" Type="http://schemas.openxmlformats.org/officeDocument/2006/relationships/hyperlink" Target="https://www.rfa.org/english/tibet/2024/12/27/tibet-china-approves-mega-dam-construction/" TargetMode="External"/><Relationship Id="rId6" Type="http://schemas.openxmlformats.org/officeDocument/2006/relationships/hyperlink" Target="https://en.wikipedia.org/wiki/Medog_Hydropower_Station" TargetMode="External"/><Relationship Id="rId11" Type="http://schemas.openxmlformats.org/officeDocument/2006/relationships/hyperlink" Target="https://en.wikipedia.org/wiki/M&#234;dog_County" TargetMode="External"/><Relationship Id="rId5" Type="http://schemas.openxmlformats.org/officeDocument/2006/relationships/hyperlink" Target="https://www.rfa.org/english/tibet/2024/12/27/tibet-china-approves-mega-dam-construction/" TargetMode="External"/><Relationship Id="rId10" Type="http://schemas.openxmlformats.org/officeDocument/2006/relationships/hyperlink" Target="https://www.ceicdata.com/en/china/population-no-of-person-per-household/population-average-household-size-tibet" TargetMode="External"/><Relationship Id="rId4" Type="http://schemas.openxmlformats.org/officeDocument/2006/relationships/hyperlink" Target="https://unu.edu/press-release/ageing-dams-pose-growing-threat" TargetMode="External"/><Relationship Id="rId9" Type="http://schemas.openxmlformats.org/officeDocument/2006/relationships/hyperlink" Target="https://www.china-briefing.com/news/china-carbon-trading-emissions-cap/" TargetMode="External"/><Relationship Id="rId1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79998168889431442"/>
  </sheetPr>
  <dimension ref="A1:D20"/>
  <sheetViews>
    <sheetView showGridLines="0" showRowColHeaders="0" zoomScaleNormal="100" workbookViewId="0">
      <selection activeCell="B6" sqref="B6"/>
    </sheetView>
  </sheetViews>
  <sheetFormatPr baseColWidth="10" defaultColWidth="10.6328125" defaultRowHeight="14.5" x14ac:dyDescent="0.35"/>
  <cols>
    <col min="1" max="1" width="24" customWidth="1"/>
    <col min="2" max="2" width="48.08984375" customWidth="1"/>
    <col min="3" max="3" width="42.08984375" customWidth="1"/>
    <col min="4" max="4" width="33.54296875" customWidth="1"/>
  </cols>
  <sheetData>
    <row r="1" spans="1:4" ht="18.5" x14ac:dyDescent="0.35">
      <c r="A1" s="25" t="s">
        <v>0</v>
      </c>
      <c r="B1" s="25"/>
    </row>
    <row r="2" spans="1:4" ht="14.25" customHeight="1" x14ac:dyDescent="0.35">
      <c r="A2" s="26" t="s">
        <v>1</v>
      </c>
      <c r="B2" s="26" t="s">
        <v>2</v>
      </c>
    </row>
    <row r="3" spans="1:4" ht="14.25" customHeight="1" x14ac:dyDescent="0.35">
      <c r="A3" s="27" t="s">
        <v>3</v>
      </c>
      <c r="B3" s="28" t="s">
        <v>4</v>
      </c>
    </row>
    <row r="4" spans="1:4" ht="28.5" customHeight="1" x14ac:dyDescent="0.35">
      <c r="A4" s="27" t="s">
        <v>5</v>
      </c>
      <c r="B4" s="28" t="s">
        <v>6</v>
      </c>
    </row>
    <row r="5" spans="1:4" ht="14.25" customHeight="1" x14ac:dyDescent="0.35">
      <c r="A5" s="27" t="s">
        <v>7</v>
      </c>
      <c r="B5" s="28" t="s">
        <v>8</v>
      </c>
    </row>
    <row r="6" spans="1:4" ht="14.25" customHeight="1" x14ac:dyDescent="0.35">
      <c r="A6" s="27" t="s">
        <v>9</v>
      </c>
      <c r="B6" s="28" t="s">
        <v>10</v>
      </c>
    </row>
    <row r="7" spans="1:4" ht="14.25" customHeight="1" x14ac:dyDescent="0.35">
      <c r="A7" s="27" t="s">
        <v>11</v>
      </c>
      <c r="B7" s="28" t="s">
        <v>12</v>
      </c>
    </row>
    <row r="8" spans="1:4" ht="15" customHeight="1" x14ac:dyDescent="0.35"/>
    <row r="9" spans="1:4" ht="18.5" x14ac:dyDescent="0.35">
      <c r="A9" s="29" t="s">
        <v>13</v>
      </c>
      <c r="B9" s="29"/>
      <c r="C9" s="29"/>
      <c r="D9" s="29"/>
    </row>
    <row r="10" spans="1:4" ht="14.25" customHeight="1" x14ac:dyDescent="0.35">
      <c r="A10" s="26" t="s">
        <v>1</v>
      </c>
      <c r="B10" s="26" t="s">
        <v>14</v>
      </c>
      <c r="C10" s="26" t="s">
        <v>15</v>
      </c>
      <c r="D10" s="26" t="s">
        <v>16</v>
      </c>
    </row>
    <row r="11" spans="1:4" ht="14.25" customHeight="1" x14ac:dyDescent="0.35">
      <c r="A11" s="27" t="s">
        <v>17</v>
      </c>
      <c r="B11" s="28" t="s">
        <v>18</v>
      </c>
      <c r="C11" s="28" t="s">
        <v>19</v>
      </c>
      <c r="D11" s="28" t="s">
        <v>20</v>
      </c>
    </row>
    <row r="12" spans="1:4" ht="14.25" customHeight="1" x14ac:dyDescent="0.35">
      <c r="A12" s="27" t="s">
        <v>21</v>
      </c>
      <c r="B12" s="28" t="s">
        <v>22</v>
      </c>
      <c r="C12" s="28" t="s">
        <v>23</v>
      </c>
      <c r="D12" s="28" t="s">
        <v>24</v>
      </c>
    </row>
    <row r="13" spans="1:4" ht="14.25" customHeight="1" x14ac:dyDescent="0.35">
      <c r="A13" s="27" t="s">
        <v>25</v>
      </c>
      <c r="B13" s="28" t="s">
        <v>26</v>
      </c>
      <c r="C13" s="28" t="s">
        <v>27</v>
      </c>
      <c r="D13" s="28" t="s">
        <v>28</v>
      </c>
    </row>
    <row r="14" spans="1:4" ht="14.25" customHeight="1" x14ac:dyDescent="0.35">
      <c r="A14" s="27" t="s">
        <v>29</v>
      </c>
      <c r="B14" s="28" t="s">
        <v>30</v>
      </c>
      <c r="C14" s="28" t="s">
        <v>31</v>
      </c>
      <c r="D14" s="28" t="s">
        <v>32</v>
      </c>
    </row>
    <row r="15" spans="1:4" ht="14.25" customHeight="1" x14ac:dyDescent="0.35">
      <c r="A15" s="27" t="s">
        <v>33</v>
      </c>
      <c r="B15" s="28" t="s">
        <v>34</v>
      </c>
      <c r="C15" s="28" t="s">
        <v>35</v>
      </c>
      <c r="D15" s="28" t="s">
        <v>36</v>
      </c>
    </row>
    <row r="16" spans="1:4" ht="14.25" customHeight="1" x14ac:dyDescent="0.35">
      <c r="A16" s="27" t="s">
        <v>37</v>
      </c>
      <c r="B16" s="28" t="s">
        <v>38</v>
      </c>
      <c r="C16" s="28" t="s">
        <v>39</v>
      </c>
      <c r="D16" s="28" t="s">
        <v>40</v>
      </c>
    </row>
    <row r="17" spans="1:4" ht="14.25" customHeight="1" x14ac:dyDescent="0.35">
      <c r="A17" s="27" t="s">
        <v>41</v>
      </c>
      <c r="B17" s="28" t="s">
        <v>42</v>
      </c>
      <c r="C17" s="28" t="s">
        <v>43</v>
      </c>
      <c r="D17" s="28" t="s">
        <v>44</v>
      </c>
    </row>
    <row r="18" spans="1:4" ht="14.25" customHeight="1" x14ac:dyDescent="0.35">
      <c r="A18" s="27" t="s">
        <v>45</v>
      </c>
      <c r="B18" s="28" t="s">
        <v>46</v>
      </c>
      <c r="C18" s="28" t="s">
        <v>47</v>
      </c>
      <c r="D18" s="28" t="s">
        <v>48</v>
      </c>
    </row>
    <row r="19" spans="1:4" ht="14.25" customHeight="1" x14ac:dyDescent="0.35">
      <c r="A19" s="27" t="s">
        <v>49</v>
      </c>
      <c r="B19" s="28" t="s">
        <v>50</v>
      </c>
      <c r="C19" s="28" t="s">
        <v>51</v>
      </c>
      <c r="D19" s="28" t="s">
        <v>52</v>
      </c>
    </row>
    <row r="20" spans="1:4" ht="14.25" customHeight="1" x14ac:dyDescent="0.35">
      <c r="A20" s="27" t="s">
        <v>53</v>
      </c>
      <c r="B20" s="28" t="s">
        <v>54</v>
      </c>
      <c r="C20" s="28" t="s">
        <v>55</v>
      </c>
      <c r="D20" s="28" t="s">
        <v>56</v>
      </c>
    </row>
  </sheetData>
  <mergeCells count="2">
    <mergeCell ref="A1:B1"/>
    <mergeCell ref="A9:D9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98168889431442"/>
  </sheetPr>
  <dimension ref="A1:G17"/>
  <sheetViews>
    <sheetView showGridLines="0" zoomScaleNormal="100" workbookViewId="0">
      <selection activeCell="C3" sqref="C3"/>
    </sheetView>
  </sheetViews>
  <sheetFormatPr baseColWidth="10" defaultColWidth="10.6328125" defaultRowHeight="14.5" x14ac:dyDescent="0.35"/>
  <cols>
    <col min="1" max="1" width="13.6328125" customWidth="1"/>
    <col min="2" max="2" width="31.54296875" customWidth="1"/>
    <col min="3" max="3" width="23.81640625" customWidth="1"/>
    <col min="4" max="4" width="9.1796875" customWidth="1"/>
    <col min="5" max="5" width="17.08984375" customWidth="1"/>
    <col min="6" max="6" width="26.453125" customWidth="1"/>
    <col min="7" max="7" width="35.26953125" customWidth="1"/>
  </cols>
  <sheetData>
    <row r="1" spans="1:7" ht="28.5" customHeight="1" x14ac:dyDescent="0.35">
      <c r="A1" s="38" t="s">
        <v>57</v>
      </c>
      <c r="B1" s="38"/>
      <c r="C1" s="38"/>
      <c r="D1" s="38"/>
      <c r="E1" s="38"/>
      <c r="F1" s="38"/>
      <c r="G1" s="38"/>
    </row>
    <row r="2" spans="1:7" ht="14.25" customHeight="1" x14ac:dyDescent="0.35">
      <c r="A2" s="49" t="s">
        <v>58</v>
      </c>
      <c r="B2" s="50" t="s">
        <v>59</v>
      </c>
      <c r="C2" s="50" t="s">
        <v>60</v>
      </c>
      <c r="D2" s="50" t="s">
        <v>61</v>
      </c>
      <c r="E2" s="50" t="s">
        <v>62</v>
      </c>
      <c r="F2" s="50" t="s">
        <v>63</v>
      </c>
      <c r="G2" s="51" t="s">
        <v>64</v>
      </c>
    </row>
    <row r="3" spans="1:7" ht="14.25" customHeight="1" x14ac:dyDescent="0.35">
      <c r="A3" s="13" t="s">
        <v>65</v>
      </c>
      <c r="B3" s="14" t="s">
        <v>66</v>
      </c>
      <c r="C3" s="14" t="s">
        <v>67</v>
      </c>
      <c r="D3" s="14" t="s">
        <v>68</v>
      </c>
      <c r="E3" s="14" t="s">
        <v>39</v>
      </c>
      <c r="F3" s="14" t="s">
        <v>69</v>
      </c>
      <c r="G3" s="15" t="s">
        <v>70</v>
      </c>
    </row>
    <row r="4" spans="1:7" ht="14.25" customHeight="1" x14ac:dyDescent="0.35">
      <c r="A4" s="16" t="s">
        <v>65</v>
      </c>
      <c r="B4" s="17" t="s">
        <v>71</v>
      </c>
      <c r="C4" s="17" t="s">
        <v>72</v>
      </c>
      <c r="D4" s="17" t="s">
        <v>73</v>
      </c>
      <c r="E4" s="17" t="s">
        <v>74</v>
      </c>
      <c r="F4" s="17" t="s">
        <v>75</v>
      </c>
      <c r="G4" s="18" t="s">
        <v>76</v>
      </c>
    </row>
    <row r="5" spans="1:7" ht="14.25" customHeight="1" x14ac:dyDescent="0.35">
      <c r="A5" s="13" t="s">
        <v>77</v>
      </c>
      <c r="B5" s="14" t="s">
        <v>78</v>
      </c>
      <c r="C5" s="14" t="s">
        <v>79</v>
      </c>
      <c r="D5" s="14" t="s">
        <v>73</v>
      </c>
      <c r="E5" s="14" t="s">
        <v>74</v>
      </c>
      <c r="F5" s="14" t="s">
        <v>80</v>
      </c>
      <c r="G5" s="15" t="s">
        <v>81</v>
      </c>
    </row>
    <row r="6" spans="1:7" ht="14.25" customHeight="1" x14ac:dyDescent="0.35">
      <c r="A6" s="16" t="s">
        <v>77</v>
      </c>
      <c r="B6" s="17" t="s">
        <v>82</v>
      </c>
      <c r="C6" s="17" t="s">
        <v>83</v>
      </c>
      <c r="D6" s="17" t="s">
        <v>84</v>
      </c>
      <c r="E6" s="17" t="s">
        <v>85</v>
      </c>
      <c r="F6" s="17" t="s">
        <v>86</v>
      </c>
      <c r="G6" s="18" t="s">
        <v>87</v>
      </c>
    </row>
    <row r="7" spans="1:7" ht="14.25" customHeight="1" x14ac:dyDescent="0.35">
      <c r="A7" s="19" t="s">
        <v>88</v>
      </c>
      <c r="B7" s="20" t="s">
        <v>89</v>
      </c>
      <c r="C7" s="20" t="s">
        <v>90</v>
      </c>
      <c r="D7" s="20" t="s">
        <v>68</v>
      </c>
      <c r="E7" s="20" t="s">
        <v>38</v>
      </c>
      <c r="F7" s="20" t="s">
        <v>91</v>
      </c>
      <c r="G7" s="21" t="s">
        <v>92</v>
      </c>
    </row>
    <row r="8" spans="1:7" x14ac:dyDescent="0.35">
      <c r="A8" s="13" t="s">
        <v>93</v>
      </c>
      <c r="B8" s="14" t="s">
        <v>94</v>
      </c>
      <c r="C8" s="14" t="s">
        <v>95</v>
      </c>
      <c r="D8" s="14" t="s">
        <v>68</v>
      </c>
      <c r="E8" s="14" t="s">
        <v>85</v>
      </c>
      <c r="F8" s="14" t="s">
        <v>96</v>
      </c>
      <c r="G8" s="15" t="s">
        <v>97</v>
      </c>
    </row>
    <row r="9" spans="1:7" x14ac:dyDescent="0.35">
      <c r="A9" s="16" t="s">
        <v>93</v>
      </c>
      <c r="B9" s="17" t="s">
        <v>98</v>
      </c>
      <c r="C9" s="17" t="s">
        <v>99</v>
      </c>
      <c r="D9" s="17" t="s">
        <v>68</v>
      </c>
      <c r="E9" s="17" t="s">
        <v>74</v>
      </c>
      <c r="F9" s="17" t="s">
        <v>100</v>
      </c>
      <c r="G9" s="18" t="s">
        <v>101</v>
      </c>
    </row>
    <row r="10" spans="1:7" ht="28.5" customHeight="1" x14ac:dyDescent="0.35">
      <c r="A10" s="13" t="s">
        <v>102</v>
      </c>
      <c r="B10" s="14" t="s">
        <v>103</v>
      </c>
      <c r="C10" s="14" t="s">
        <v>104</v>
      </c>
      <c r="D10" s="14" t="s">
        <v>73</v>
      </c>
      <c r="E10" s="14" t="s">
        <v>39</v>
      </c>
      <c r="F10" s="14" t="s">
        <v>105</v>
      </c>
      <c r="G10" s="15" t="s">
        <v>106</v>
      </c>
    </row>
    <row r="11" spans="1:7" ht="14.25" customHeight="1" x14ac:dyDescent="0.35">
      <c r="A11" s="16" t="s">
        <v>102</v>
      </c>
      <c r="B11" s="17" t="s">
        <v>107</v>
      </c>
      <c r="C11" s="17" t="s">
        <v>108</v>
      </c>
      <c r="D11" s="17" t="s">
        <v>73</v>
      </c>
      <c r="E11" s="17" t="s">
        <v>39</v>
      </c>
      <c r="F11" s="17" t="s">
        <v>109</v>
      </c>
      <c r="G11" s="18" t="s">
        <v>110</v>
      </c>
    </row>
    <row r="12" spans="1:7" ht="14.25" customHeight="1" x14ac:dyDescent="0.35">
      <c r="A12" s="13" t="s">
        <v>111</v>
      </c>
      <c r="B12" s="14" t="s">
        <v>112</v>
      </c>
      <c r="C12" s="14" t="s">
        <v>12</v>
      </c>
      <c r="D12" s="14" t="s">
        <v>68</v>
      </c>
      <c r="E12" s="14" t="s">
        <v>39</v>
      </c>
      <c r="F12" s="14" t="s">
        <v>113</v>
      </c>
      <c r="G12" s="15" t="s">
        <v>114</v>
      </c>
    </row>
    <row r="13" spans="1:7" ht="14.25" customHeight="1" x14ac:dyDescent="0.35">
      <c r="A13" s="22" t="s">
        <v>111</v>
      </c>
      <c r="B13" s="23" t="s">
        <v>115</v>
      </c>
      <c r="C13" s="23" t="s">
        <v>12</v>
      </c>
      <c r="D13" s="23" t="s">
        <v>68</v>
      </c>
      <c r="E13" s="23" t="s">
        <v>39</v>
      </c>
      <c r="F13" s="23" t="s">
        <v>116</v>
      </c>
      <c r="G13" s="24" t="s">
        <v>117</v>
      </c>
    </row>
    <row r="14" spans="1:7" ht="14.25" customHeight="1" x14ac:dyDescent="0.35">
      <c r="A14" s="16" t="s">
        <v>111</v>
      </c>
      <c r="B14" s="17" t="s">
        <v>118</v>
      </c>
      <c r="C14" s="17" t="s">
        <v>67</v>
      </c>
      <c r="D14" s="17" t="s">
        <v>73</v>
      </c>
      <c r="E14" s="17" t="s">
        <v>74</v>
      </c>
      <c r="F14" s="17" t="s">
        <v>119</v>
      </c>
      <c r="G14" s="18" t="s">
        <v>120</v>
      </c>
    </row>
    <row r="15" spans="1:7" ht="14.25" customHeight="1" x14ac:dyDescent="0.35">
      <c r="A15" s="13" t="s">
        <v>121</v>
      </c>
      <c r="B15" s="14" t="s">
        <v>122</v>
      </c>
      <c r="C15" s="14" t="s">
        <v>108</v>
      </c>
      <c r="D15" s="14" t="s">
        <v>73</v>
      </c>
      <c r="E15" s="14" t="s">
        <v>74</v>
      </c>
      <c r="F15" s="14" t="s">
        <v>123</v>
      </c>
      <c r="G15" s="15" t="s">
        <v>124</v>
      </c>
    </row>
    <row r="16" spans="1:7" ht="14.25" customHeight="1" x14ac:dyDescent="0.35">
      <c r="A16" s="16" t="s">
        <v>121</v>
      </c>
      <c r="B16" s="17" t="s">
        <v>125</v>
      </c>
      <c r="C16" s="17" t="s">
        <v>108</v>
      </c>
      <c r="D16" s="17" t="s">
        <v>68</v>
      </c>
      <c r="E16" s="17" t="s">
        <v>38</v>
      </c>
      <c r="F16" s="17" t="s">
        <v>126</v>
      </c>
      <c r="G16" s="18" t="s">
        <v>127</v>
      </c>
    </row>
    <row r="17" spans="1:7" ht="14.25" customHeight="1" x14ac:dyDescent="0.35">
      <c r="A17" s="19" t="s">
        <v>128</v>
      </c>
      <c r="B17" s="20" t="s">
        <v>129</v>
      </c>
      <c r="C17" s="20" t="s">
        <v>130</v>
      </c>
      <c r="D17" s="20" t="s">
        <v>73</v>
      </c>
      <c r="E17" s="20" t="s">
        <v>39</v>
      </c>
      <c r="F17" s="20" t="s">
        <v>131</v>
      </c>
      <c r="G17" s="21" t="s">
        <v>132</v>
      </c>
    </row>
  </sheetData>
  <mergeCells count="1">
    <mergeCell ref="A1: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</sheetPr>
  <dimension ref="A1:G25"/>
  <sheetViews>
    <sheetView showGridLines="0" zoomScale="85" zoomScaleNormal="85" workbookViewId="0">
      <selection activeCell="C17" sqref="C17"/>
    </sheetView>
  </sheetViews>
  <sheetFormatPr baseColWidth="10" defaultColWidth="10.6328125" defaultRowHeight="14.5" x14ac:dyDescent="0.35"/>
  <cols>
    <col min="1" max="1" width="29.54296875" customWidth="1"/>
    <col min="2" max="2" width="22.453125" customWidth="1"/>
    <col min="3" max="3" width="35.36328125" customWidth="1"/>
    <col min="4" max="4" width="44.7265625" customWidth="1"/>
    <col min="5" max="5" width="8.26953125" customWidth="1"/>
    <col min="6" max="6" width="32.453125" customWidth="1"/>
  </cols>
  <sheetData>
    <row r="1" spans="1:7" ht="28.5" customHeight="1" x14ac:dyDescent="0.35">
      <c r="A1" s="31" t="s">
        <v>133</v>
      </c>
      <c r="B1" s="32"/>
      <c r="C1" s="32"/>
      <c r="D1" s="32"/>
      <c r="E1" s="32"/>
      <c r="F1" s="33"/>
    </row>
    <row r="2" spans="1:7" ht="14.25" customHeight="1" x14ac:dyDescent="0.35">
      <c r="A2" s="52" t="s">
        <v>59</v>
      </c>
      <c r="B2" s="53" t="s">
        <v>134</v>
      </c>
      <c r="C2" s="53" t="s">
        <v>135</v>
      </c>
      <c r="D2" s="53" t="s">
        <v>136</v>
      </c>
      <c r="E2" s="53" t="s">
        <v>137</v>
      </c>
      <c r="F2" s="54" t="s">
        <v>138</v>
      </c>
    </row>
    <row r="3" spans="1:7" ht="28.5" customHeight="1" x14ac:dyDescent="0.35">
      <c r="A3" s="55" t="str">
        <f>Impacts!$B3</f>
        <v>Déplacements population</v>
      </c>
      <c r="B3" s="20" t="s">
        <v>139</v>
      </c>
      <c r="C3" s="20" t="s">
        <v>140</v>
      </c>
      <c r="D3" s="20" t="s">
        <v>141</v>
      </c>
      <c r="E3" s="20" t="s">
        <v>142</v>
      </c>
      <c r="F3" s="21" t="s">
        <v>143</v>
      </c>
      <c r="G3" s="85" t="s">
        <v>297</v>
      </c>
    </row>
    <row r="4" spans="1:7" ht="28.5" customHeight="1" x14ac:dyDescent="0.35">
      <c r="A4" s="55" t="str">
        <f>Impacts!$B4</f>
        <v>Développement régional</v>
      </c>
      <c r="B4" s="20" t="s">
        <v>144</v>
      </c>
      <c r="C4" s="20" t="s">
        <v>145</v>
      </c>
      <c r="D4" s="20" t="s">
        <v>146</v>
      </c>
      <c r="E4" s="20" t="s">
        <v>147</v>
      </c>
      <c r="F4" s="21" t="s">
        <v>148</v>
      </c>
      <c r="G4" s="85" t="s">
        <v>298</v>
      </c>
    </row>
    <row r="5" spans="1:7" ht="28.5" customHeight="1" x14ac:dyDescent="0.35">
      <c r="A5" s="55" t="str">
        <f>Impacts!$B5</f>
        <v>Régulation crues</v>
      </c>
      <c r="B5" s="20" t="s">
        <v>149</v>
      </c>
      <c r="C5" s="20" t="s">
        <v>299</v>
      </c>
      <c r="D5" s="20" t="s">
        <v>150</v>
      </c>
      <c r="E5" s="20" t="s">
        <v>147</v>
      </c>
      <c r="F5" s="21" t="s">
        <v>151</v>
      </c>
      <c r="G5" s="85" t="s">
        <v>298</v>
      </c>
    </row>
    <row r="6" spans="1:7" ht="27.75" customHeight="1" x14ac:dyDescent="0.35">
      <c r="A6" s="55" t="str">
        <f>Impacts!$B6</f>
        <v>Modification débit saisonnier</v>
      </c>
      <c r="B6" s="20" t="s">
        <v>152</v>
      </c>
      <c r="C6" s="20" t="s">
        <v>153</v>
      </c>
      <c r="D6" s="20" t="s">
        <v>154</v>
      </c>
      <c r="E6" s="20" t="s">
        <v>147</v>
      </c>
      <c r="F6" s="21" t="s">
        <v>155</v>
      </c>
      <c r="G6" s="85" t="s">
        <v>298</v>
      </c>
    </row>
    <row r="7" spans="1:7" ht="28.5" customHeight="1" x14ac:dyDescent="0.35">
      <c r="A7" s="55" t="str">
        <f>Impacts!$B7</f>
        <v>Tensions hydriques régionales</v>
      </c>
      <c r="B7" s="20" t="s">
        <v>156</v>
      </c>
      <c r="C7" s="20" t="s">
        <v>157</v>
      </c>
      <c r="D7" s="20" t="s">
        <v>158</v>
      </c>
      <c r="E7" s="20" t="s">
        <v>159</v>
      </c>
      <c r="F7" s="21" t="s">
        <v>160</v>
      </c>
      <c r="G7" s="85" t="s">
        <v>298</v>
      </c>
    </row>
    <row r="8" spans="1:7" ht="28.5" customHeight="1" x14ac:dyDescent="0.35">
      <c r="A8" s="55" t="str">
        <f>Impacts!$B8</f>
        <v>Perturbation biodiversité fluviale</v>
      </c>
      <c r="B8" s="20" t="s">
        <v>161</v>
      </c>
      <c r="C8" s="20" t="s">
        <v>162</v>
      </c>
      <c r="D8" s="20" t="s">
        <v>163</v>
      </c>
      <c r="E8" s="20" t="s">
        <v>147</v>
      </c>
      <c r="F8" s="21" t="s">
        <v>164</v>
      </c>
      <c r="G8" s="85" t="s">
        <v>298</v>
      </c>
    </row>
    <row r="9" spans="1:7" ht="14.25" customHeight="1" x14ac:dyDescent="0.35">
      <c r="A9" s="55" t="str">
        <f>Impacts!$B9</f>
        <v>Modification transport sédiments</v>
      </c>
      <c r="B9" s="20" t="s">
        <v>165</v>
      </c>
      <c r="C9" s="20" t="s">
        <v>166</v>
      </c>
      <c r="D9" s="20" t="s">
        <v>167</v>
      </c>
      <c r="E9" s="20" t="s">
        <v>147</v>
      </c>
      <c r="F9" s="21" t="s">
        <v>168</v>
      </c>
      <c r="G9" s="85" t="s">
        <v>298</v>
      </c>
    </row>
    <row r="10" spans="1:7" ht="28.5" customHeight="1" x14ac:dyDescent="0.35">
      <c r="A10" s="55" t="str">
        <f>Impacts!$B10</f>
        <v>Production hydroélectrique supplémentaire</v>
      </c>
      <c r="B10" s="20" t="s">
        <v>149</v>
      </c>
      <c r="C10" s="20" t="s">
        <v>169</v>
      </c>
      <c r="D10" s="20" t="s">
        <v>170</v>
      </c>
      <c r="E10" s="20" t="s">
        <v>147</v>
      </c>
      <c r="F10" s="21" t="s">
        <v>171</v>
      </c>
      <c r="G10" s="85" t="s">
        <v>297</v>
      </c>
    </row>
    <row r="11" spans="1:7" ht="14.25" customHeight="1" x14ac:dyDescent="0.35">
      <c r="A11" s="55" t="str">
        <f>Impacts!$B11</f>
        <v>Réduction production charbon</v>
      </c>
      <c r="B11" s="20" t="s">
        <v>172</v>
      </c>
      <c r="C11" s="20" t="s">
        <v>173</v>
      </c>
      <c r="D11" s="20" t="s">
        <v>301</v>
      </c>
      <c r="E11" s="20" t="s">
        <v>147</v>
      </c>
      <c r="F11" s="21" t="s">
        <v>171</v>
      </c>
      <c r="G11" s="85" t="s">
        <v>297</v>
      </c>
    </row>
    <row r="12" spans="1:7" ht="14.25" customHeight="1" x14ac:dyDescent="0.35">
      <c r="A12" s="55" t="str">
        <f>Impacts!$B12</f>
        <v>Coût construction barrage</v>
      </c>
      <c r="B12" s="20" t="s">
        <v>174</v>
      </c>
      <c r="C12" s="20" t="s">
        <v>175</v>
      </c>
      <c r="D12" s="20" t="s">
        <v>176</v>
      </c>
      <c r="E12" s="20" t="s">
        <v>142</v>
      </c>
      <c r="F12" s="21" t="s">
        <v>177</v>
      </c>
      <c r="G12" s="85" t="s">
        <v>297</v>
      </c>
    </row>
    <row r="13" spans="1:7" ht="14.25" customHeight="1" x14ac:dyDescent="0.35">
      <c r="A13" s="56" t="str">
        <f>Impacts!$B13</f>
        <v>Coût maintenance infrastructure</v>
      </c>
      <c r="B13" s="17" t="s">
        <v>178</v>
      </c>
      <c r="C13" s="17" t="s">
        <v>179</v>
      </c>
      <c r="D13" s="17" t="s">
        <v>180</v>
      </c>
      <c r="E13" s="17" t="s">
        <v>147</v>
      </c>
      <c r="F13" s="18" t="s">
        <v>181</v>
      </c>
      <c r="G13" s="85" t="s">
        <v>297</v>
      </c>
    </row>
    <row r="14" spans="1:7" ht="14.25" customHeight="1" x14ac:dyDescent="0.35">
      <c r="A14" s="55" t="str">
        <f>Impacts!$B14</f>
        <v>Création emplois construction</v>
      </c>
      <c r="B14" s="20" t="s">
        <v>182</v>
      </c>
      <c r="C14" s="20" t="s">
        <v>183</v>
      </c>
      <c r="D14" s="20" t="s">
        <v>184</v>
      </c>
      <c r="E14" s="20" t="s">
        <v>147</v>
      </c>
      <c r="F14" s="21" t="s">
        <v>185</v>
      </c>
      <c r="G14" s="85" t="s">
        <v>300</v>
      </c>
    </row>
    <row r="15" spans="1:7" ht="14.25" customHeight="1" x14ac:dyDescent="0.35">
      <c r="A15" s="55" t="str">
        <f>Impacts!$B15</f>
        <v>Sécurisation ressource hydrique</v>
      </c>
      <c r="B15" s="20" t="s">
        <v>149</v>
      </c>
      <c r="C15" s="20" t="s">
        <v>186</v>
      </c>
      <c r="D15" s="20" t="s">
        <v>187</v>
      </c>
      <c r="E15" s="20" t="s">
        <v>147</v>
      </c>
      <c r="F15" s="21" t="s">
        <v>188</v>
      </c>
      <c r="G15" s="85" t="s">
        <v>298</v>
      </c>
    </row>
    <row r="16" spans="1:7" ht="14.25" customHeight="1" x14ac:dyDescent="0.35">
      <c r="A16" s="55" t="str">
        <f>Impacts!$B16</f>
        <v>Dépendance à infrastructure</v>
      </c>
      <c r="B16" s="20" t="s">
        <v>156</v>
      </c>
      <c r="C16" s="20" t="s">
        <v>189</v>
      </c>
      <c r="D16" s="20" t="s">
        <v>190</v>
      </c>
      <c r="E16" s="20" t="s">
        <v>159</v>
      </c>
      <c r="F16" s="21" t="s">
        <v>191</v>
      </c>
      <c r="G16" s="85" t="s">
        <v>298</v>
      </c>
    </row>
    <row r="17" spans="1:7" ht="14.25" customHeight="1" x14ac:dyDescent="0.35">
      <c r="A17" s="56" t="str">
        <f>Impacts!$B17</f>
        <v>Réduction émissions CO2</v>
      </c>
      <c r="B17" s="17" t="s">
        <v>192</v>
      </c>
      <c r="C17" s="17" t="s">
        <v>302</v>
      </c>
      <c r="D17" s="17" t="s">
        <v>303</v>
      </c>
      <c r="E17" s="17" t="s">
        <v>147</v>
      </c>
      <c r="F17" s="18" t="s">
        <v>193</v>
      </c>
      <c r="G17" s="85" t="s">
        <v>297</v>
      </c>
    </row>
    <row r="18" spans="1:7" ht="14.25" customHeight="1" x14ac:dyDescent="0.35">
      <c r="A18" s="1"/>
    </row>
    <row r="19" spans="1:7" ht="14.25" customHeight="1" x14ac:dyDescent="0.35">
      <c r="A19" s="1"/>
    </row>
    <row r="20" spans="1:7" ht="14.25" customHeight="1" x14ac:dyDescent="0.35">
      <c r="A20" s="1"/>
    </row>
    <row r="21" spans="1:7" ht="14.25" customHeight="1" x14ac:dyDescent="0.35">
      <c r="A21" s="1"/>
    </row>
    <row r="22" spans="1:7" ht="14.25" customHeight="1" x14ac:dyDescent="0.35">
      <c r="A22" s="1"/>
    </row>
    <row r="23" spans="1:7" ht="14.25" customHeight="1" x14ac:dyDescent="0.35">
      <c r="A23" s="1"/>
    </row>
    <row r="24" spans="1:7" ht="14.25" customHeight="1" x14ac:dyDescent="0.35">
      <c r="A24" s="1"/>
    </row>
    <row r="25" spans="1:7" ht="14.25" customHeight="1" x14ac:dyDescent="0.35">
      <c r="A25" s="1"/>
    </row>
  </sheetData>
  <mergeCells count="1">
    <mergeCell ref="A1:F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H32"/>
  <sheetViews>
    <sheetView showGridLines="0" zoomScale="85" zoomScaleNormal="85" workbookViewId="0">
      <selection activeCell="D24" sqref="D24"/>
    </sheetView>
  </sheetViews>
  <sheetFormatPr baseColWidth="10" defaultColWidth="10.6328125" defaultRowHeight="14.5" x14ac:dyDescent="0.35"/>
  <cols>
    <col min="1" max="1" width="34.90625" customWidth="1"/>
    <col min="2" max="2" width="15.54296875" customWidth="1"/>
    <col min="3" max="3" width="14.90625" customWidth="1"/>
    <col min="4" max="4" width="40.26953125" customWidth="1"/>
    <col min="5" max="5" width="49.453125" customWidth="1"/>
    <col min="6" max="6" width="10.6328125" customWidth="1"/>
  </cols>
  <sheetData>
    <row r="1" spans="1:8" ht="28.5" customHeight="1" thickBot="1" x14ac:dyDescent="0.4">
      <c r="A1" s="2" t="s">
        <v>194</v>
      </c>
      <c r="B1" s="2"/>
      <c r="C1" s="2"/>
      <c r="D1" s="2"/>
      <c r="E1" s="2"/>
      <c r="F1" s="2"/>
      <c r="G1" s="2"/>
      <c r="H1" s="2"/>
    </row>
    <row r="2" spans="1:8" ht="14.25" customHeight="1" x14ac:dyDescent="0.35">
      <c r="A2" s="61" t="s">
        <v>195</v>
      </c>
      <c r="B2" s="62" t="s">
        <v>196</v>
      </c>
      <c r="C2" s="62" t="s">
        <v>137</v>
      </c>
      <c r="D2" s="62" t="s">
        <v>64</v>
      </c>
      <c r="E2" s="62" t="s">
        <v>138</v>
      </c>
      <c r="F2" s="62" t="s">
        <v>197</v>
      </c>
      <c r="G2" s="62" t="s">
        <v>198</v>
      </c>
      <c r="H2" s="63" t="s">
        <v>199</v>
      </c>
    </row>
    <row r="3" spans="1:8" ht="14.25" customHeight="1" x14ac:dyDescent="0.35">
      <c r="A3" s="64" t="s">
        <v>200</v>
      </c>
      <c r="B3" s="65">
        <v>137000</v>
      </c>
      <c r="C3" s="65" t="s">
        <v>201</v>
      </c>
      <c r="D3" s="65"/>
      <c r="E3" s="65" t="s">
        <v>202</v>
      </c>
      <c r="F3" s="57" t="s">
        <v>203</v>
      </c>
      <c r="G3" s="58" t="s">
        <v>204</v>
      </c>
      <c r="H3" s="57" t="s">
        <v>205</v>
      </c>
    </row>
    <row r="4" spans="1:8" ht="14.25" customHeight="1" x14ac:dyDescent="0.35">
      <c r="A4" s="64" t="s">
        <v>206</v>
      </c>
      <c r="B4" s="65">
        <v>50</v>
      </c>
      <c r="C4" s="65" t="s">
        <v>207</v>
      </c>
      <c r="D4" s="65"/>
      <c r="E4" s="65" t="s">
        <v>208</v>
      </c>
      <c r="F4" s="57" t="s">
        <v>209</v>
      </c>
      <c r="G4" s="59"/>
      <c r="H4" s="60"/>
    </row>
    <row r="5" spans="1:8" ht="14.25" customHeight="1" x14ac:dyDescent="0.35">
      <c r="A5" s="64" t="s">
        <v>210</v>
      </c>
      <c r="B5" s="65">
        <v>4.4999999999999998E-2</v>
      </c>
      <c r="C5" s="65" t="s">
        <v>211</v>
      </c>
      <c r="D5" s="65"/>
      <c r="E5" s="65" t="s">
        <v>212</v>
      </c>
      <c r="F5" s="60" t="s">
        <v>213</v>
      </c>
      <c r="G5" s="59"/>
      <c r="H5" s="60"/>
    </row>
    <row r="6" spans="1:8" ht="14.25" customHeight="1" x14ac:dyDescent="0.35">
      <c r="A6" s="66" t="s">
        <v>214</v>
      </c>
      <c r="B6" s="67">
        <v>300</v>
      </c>
      <c r="C6" s="67" t="s">
        <v>215</v>
      </c>
      <c r="D6" s="67" t="s">
        <v>216</v>
      </c>
      <c r="E6" s="67" t="s">
        <v>202</v>
      </c>
      <c r="F6" s="57" t="s">
        <v>203</v>
      </c>
      <c r="G6" s="58" t="s">
        <v>204</v>
      </c>
      <c r="H6" s="57" t="s">
        <v>205</v>
      </c>
    </row>
    <row r="7" spans="1:8" ht="14.25" customHeight="1" x14ac:dyDescent="0.35">
      <c r="A7" s="64" t="s">
        <v>217</v>
      </c>
      <c r="B7" s="65">
        <f>0.66*0.145</f>
        <v>9.5699999999999993E-2</v>
      </c>
      <c r="C7" s="65" t="s">
        <v>218</v>
      </c>
      <c r="D7" s="65" t="s">
        <v>219</v>
      </c>
      <c r="E7" s="65" t="s">
        <v>220</v>
      </c>
      <c r="F7" s="57" t="s">
        <v>221</v>
      </c>
      <c r="G7" s="59"/>
      <c r="H7" s="60"/>
    </row>
    <row r="8" spans="1:8" ht="14.25" customHeight="1" x14ac:dyDescent="0.35">
      <c r="A8" s="64" t="s">
        <v>304</v>
      </c>
      <c r="B8" s="65">
        <v>820</v>
      </c>
      <c r="C8" s="65" t="s">
        <v>222</v>
      </c>
      <c r="D8" s="65"/>
      <c r="E8" s="65" t="s">
        <v>223</v>
      </c>
      <c r="F8" s="60" t="s">
        <v>224</v>
      </c>
      <c r="G8" s="59"/>
      <c r="H8" s="60"/>
    </row>
    <row r="9" spans="1:8" ht="14.25" customHeight="1" x14ac:dyDescent="0.35">
      <c r="A9" s="64" t="s">
        <v>225</v>
      </c>
      <c r="B9" s="65">
        <v>10</v>
      </c>
      <c r="C9" s="65" t="s">
        <v>226</v>
      </c>
      <c r="D9" s="65" t="s">
        <v>227</v>
      </c>
      <c r="E9" s="65" t="s">
        <v>228</v>
      </c>
      <c r="F9" s="57" t="s">
        <v>229</v>
      </c>
      <c r="G9" s="59"/>
      <c r="H9" s="60"/>
    </row>
    <row r="10" spans="1:8" ht="14.25" customHeight="1" x14ac:dyDescent="0.35">
      <c r="A10" s="64" t="s">
        <v>230</v>
      </c>
      <c r="B10" s="68">
        <f>15000/3.19</f>
        <v>4702.1943573667713</v>
      </c>
      <c r="C10" s="65" t="s">
        <v>231</v>
      </c>
      <c r="D10" s="68" t="s">
        <v>232</v>
      </c>
      <c r="E10" s="65" t="s">
        <v>233</v>
      </c>
      <c r="F10" s="57" t="s">
        <v>234</v>
      </c>
      <c r="G10" s="58" t="s">
        <v>235</v>
      </c>
      <c r="H10" s="60"/>
    </row>
    <row r="11" spans="1:8" ht="14.25" customHeight="1" x14ac:dyDescent="0.35">
      <c r="A11" s="64" t="s">
        <v>236</v>
      </c>
      <c r="B11" s="65">
        <f>9645*111.18*0.145</f>
        <v>155488.00950000001</v>
      </c>
      <c r="C11" s="65" t="s">
        <v>237</v>
      </c>
      <c r="D11" s="65" t="s">
        <v>238</v>
      </c>
      <c r="E11" s="65" t="s">
        <v>239</v>
      </c>
      <c r="F11" s="57"/>
      <c r="G11" s="58" t="s">
        <v>240</v>
      </c>
      <c r="H11" s="57" t="s">
        <v>241</v>
      </c>
    </row>
    <row r="12" spans="1:8" ht="14.25" customHeight="1" x14ac:dyDescent="0.35">
      <c r="A12" s="64" t="s">
        <v>242</v>
      </c>
      <c r="B12" s="65">
        <v>0</v>
      </c>
      <c r="C12" s="65"/>
      <c r="D12" s="65" t="s">
        <v>243</v>
      </c>
      <c r="E12" s="65"/>
      <c r="F12" s="60"/>
      <c r="G12" s="59"/>
      <c r="H12" s="60"/>
    </row>
    <row r="13" spans="1:8" ht="14.25" customHeight="1" x14ac:dyDescent="0.35">
      <c r="A13" s="64" t="s">
        <v>244</v>
      </c>
      <c r="B13" s="65">
        <v>2.5000000000000001E-2</v>
      </c>
      <c r="C13" s="65" t="s">
        <v>211</v>
      </c>
      <c r="D13" s="65"/>
      <c r="E13" s="65"/>
      <c r="F13" s="60" t="s">
        <v>245</v>
      </c>
      <c r="G13" s="59"/>
      <c r="H13" s="60"/>
    </row>
    <row r="14" spans="1:8" ht="14.25" customHeight="1" x14ac:dyDescent="0.35">
      <c r="A14" s="64" t="s">
        <v>246</v>
      </c>
      <c r="B14" s="65">
        <v>0</v>
      </c>
      <c r="C14" s="65"/>
      <c r="D14" s="65" t="s">
        <v>247</v>
      </c>
      <c r="E14" s="65"/>
      <c r="F14" s="60"/>
      <c r="G14" s="59"/>
      <c r="H14" s="60" t="s">
        <v>248</v>
      </c>
    </row>
    <row r="15" spans="1:8" ht="15" customHeight="1" thickBot="1" x14ac:dyDescent="0.4"/>
    <row r="16" spans="1:8" ht="28.5" customHeight="1" thickBot="1" x14ac:dyDescent="0.4">
      <c r="A16" s="46" t="s">
        <v>249</v>
      </c>
      <c r="B16" s="47"/>
      <c r="C16" s="47"/>
      <c r="D16" s="48"/>
    </row>
    <row r="17" spans="1:4" ht="14.25" customHeight="1" x14ac:dyDescent="0.35">
      <c r="A17" s="42" t="s">
        <v>250</v>
      </c>
      <c r="B17" s="43" t="s">
        <v>251</v>
      </c>
      <c r="C17" s="43" t="s">
        <v>134</v>
      </c>
      <c r="D17" s="44" t="s">
        <v>64</v>
      </c>
    </row>
    <row r="18" spans="1:4" ht="14.25" customHeight="1" x14ac:dyDescent="0.35">
      <c r="A18" s="34" t="s">
        <v>252</v>
      </c>
      <c r="B18" s="35">
        <f>B6*1000000000*B7/1000000</f>
        <v>28709.999999999996</v>
      </c>
      <c r="C18" s="35" t="s">
        <v>73</v>
      </c>
      <c r="D18" s="36"/>
    </row>
    <row r="19" spans="1:4" ht="14.25" customHeight="1" x14ac:dyDescent="0.35">
      <c r="A19" s="34" t="s">
        <v>305</v>
      </c>
      <c r="B19" s="35">
        <f>B6*1000000000*B8/1000000/1000000*B9</f>
        <v>2460</v>
      </c>
      <c r="C19" s="35" t="s">
        <v>73</v>
      </c>
      <c r="D19" s="36"/>
    </row>
    <row r="20" spans="1:4" ht="14.25" customHeight="1" x14ac:dyDescent="0.35">
      <c r="A20" s="34" t="s">
        <v>253</v>
      </c>
      <c r="B20" s="35">
        <f>B12</f>
        <v>0</v>
      </c>
      <c r="C20" s="35" t="s">
        <v>73</v>
      </c>
      <c r="D20" s="36"/>
    </row>
    <row r="21" spans="1:4" ht="14.25" customHeight="1" x14ac:dyDescent="0.35">
      <c r="A21" s="34" t="s">
        <v>254</v>
      </c>
      <c r="B21" s="35">
        <f>-B3*B13</f>
        <v>-3425</v>
      </c>
      <c r="C21" s="35" t="s">
        <v>68</v>
      </c>
      <c r="D21" s="36"/>
    </row>
    <row r="22" spans="1:4" ht="14.25" customHeight="1" x14ac:dyDescent="0.35">
      <c r="A22" s="34" t="s">
        <v>255</v>
      </c>
      <c r="B22" s="35">
        <f>-(B10*B11/1000000)</f>
        <v>-731.13484090909094</v>
      </c>
      <c r="C22" s="35" t="s">
        <v>68</v>
      </c>
      <c r="D22" s="36"/>
    </row>
    <row r="23" spans="1:4" ht="15" customHeight="1" thickBot="1" x14ac:dyDescent="0.4"/>
    <row r="24" spans="1:4" ht="28.5" customHeight="1" thickBot="1" x14ac:dyDescent="0.4">
      <c r="A24" s="2" t="s">
        <v>256</v>
      </c>
      <c r="B24" s="2"/>
    </row>
    <row r="25" spans="1:4" ht="14.25" customHeight="1" x14ac:dyDescent="0.35">
      <c r="A25" s="37" t="s">
        <v>257</v>
      </c>
      <c r="B25" s="45">
        <f>B18+B19+B20</f>
        <v>31169.999999999996</v>
      </c>
    </row>
    <row r="26" spans="1:4" ht="14.25" customHeight="1" x14ac:dyDescent="0.35">
      <c r="A26" s="34" t="s">
        <v>258</v>
      </c>
      <c r="B26" s="36">
        <f>B21+B22</f>
        <v>-4156.1348409090906</v>
      </c>
    </row>
    <row r="27" spans="1:4" ht="14.25" customHeight="1" x14ac:dyDescent="0.35">
      <c r="A27" s="34" t="s">
        <v>259</v>
      </c>
      <c r="B27" s="36">
        <f>B25+B26</f>
        <v>27013.865159090907</v>
      </c>
    </row>
    <row r="28" spans="1:4" ht="14.25" customHeight="1" x14ac:dyDescent="0.35">
      <c r="A28" s="34" t="s">
        <v>260</v>
      </c>
      <c r="B28" s="36">
        <f>B27/1000*(1-(1+B5)^(-B4))/B5 - B3/1000</f>
        <v>396.84821340241388</v>
      </c>
    </row>
    <row r="30" spans="1:4" ht="14.25" customHeight="1" x14ac:dyDescent="0.35"/>
    <row r="31" spans="1:4" ht="14.25" customHeight="1" x14ac:dyDescent="0.35">
      <c r="A31" s="86" t="s">
        <v>309</v>
      </c>
      <c r="B31" s="86"/>
      <c r="C31" s="86"/>
      <c r="D31" s="86"/>
    </row>
    <row r="32" spans="1:4" x14ac:dyDescent="0.35">
      <c r="A32" s="86"/>
      <c r="B32" s="86"/>
      <c r="C32" s="86"/>
      <c r="D32" s="86"/>
    </row>
  </sheetData>
  <mergeCells count="4">
    <mergeCell ref="A1:H1"/>
    <mergeCell ref="A16:D16"/>
    <mergeCell ref="A24:B24"/>
    <mergeCell ref="A31:D32"/>
  </mergeCells>
  <hyperlinks>
    <hyperlink ref="F3" r:id="rId1" xr:uid="{00000000-0004-0000-0300-000000000000}"/>
    <hyperlink ref="G3" r:id="rId2" xr:uid="{00000000-0004-0000-0300-000001000000}"/>
    <hyperlink ref="H3" r:id="rId3" xr:uid="{00000000-0004-0000-0300-000002000000}"/>
    <hyperlink ref="F4" r:id="rId4" xr:uid="{00000000-0004-0000-0300-000003000000}"/>
    <hyperlink ref="F6" r:id="rId5" xr:uid="{00000000-0004-0000-0300-000004000000}"/>
    <hyperlink ref="G6" r:id="rId6" xr:uid="{00000000-0004-0000-0300-000005000000}"/>
    <hyperlink ref="H6" r:id="rId7" xr:uid="{00000000-0004-0000-0300-000006000000}"/>
    <hyperlink ref="F7" r:id="rId8" xr:uid="{00000000-0004-0000-0300-000007000000}"/>
    <hyperlink ref="F9" r:id="rId9" xr:uid="{00000000-0004-0000-0300-000008000000}"/>
    <hyperlink ref="F10" r:id="rId10" xr:uid="{00000000-0004-0000-0300-000009000000}"/>
    <hyperlink ref="G10" r:id="rId11" xr:uid="{00000000-0004-0000-0300-00000A000000}"/>
    <hyperlink ref="G11" r:id="rId12" xr:uid="{00000000-0004-0000-0300-00000B000000}"/>
    <hyperlink ref="H11" r:id="rId13" xr:uid="{00000000-0004-0000-0300-00000C000000}"/>
  </hyperlinks>
  <pageMargins left="0.7" right="0.7" top="0.75" bottom="0.75" header="0.511811023622047" footer="0.511811023622047"/>
  <pageSetup paperSize="9" orientation="portrait" horizontalDpi="300" verticalDpi="300"/>
  <tableParts count="1">
    <tablePart r:id="rId1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79998168889431442"/>
  </sheetPr>
  <dimension ref="A1:M55"/>
  <sheetViews>
    <sheetView showGridLines="0" zoomScaleNormal="100" workbookViewId="0">
      <selection activeCell="A2" sqref="A2"/>
    </sheetView>
  </sheetViews>
  <sheetFormatPr baseColWidth="10" defaultColWidth="8.6328125" defaultRowHeight="14.5" x14ac:dyDescent="0.35"/>
  <cols>
    <col min="1" max="1" width="8" customWidth="1"/>
    <col min="2" max="10" width="15.6328125" customWidth="1"/>
    <col min="11" max="11" width="3" customWidth="1"/>
    <col min="12" max="12" width="28" customWidth="1"/>
    <col min="13" max="13" width="16" customWidth="1"/>
  </cols>
  <sheetData>
    <row r="1" spans="1:13" s="69" customFormat="1" ht="27.75" customHeight="1" thickBot="1" x14ac:dyDescent="0.5">
      <c r="A1" s="99" t="s">
        <v>312</v>
      </c>
      <c r="B1" s="100"/>
      <c r="C1" s="100"/>
      <c r="D1" s="100"/>
      <c r="E1" s="100"/>
      <c r="F1" s="100"/>
      <c r="G1" s="100"/>
      <c r="H1" s="100"/>
      <c r="I1" s="100"/>
      <c r="J1" s="101"/>
      <c r="L1" s="39" t="s">
        <v>256</v>
      </c>
      <c r="M1" s="41"/>
    </row>
    <row r="2" spans="1:13" ht="42" customHeight="1" x14ac:dyDescent="0.35">
      <c r="A2" s="87" t="s">
        <v>261</v>
      </c>
      <c r="B2" s="88" t="s">
        <v>262</v>
      </c>
      <c r="C2" s="88" t="s">
        <v>263</v>
      </c>
      <c r="D2" s="88" t="s">
        <v>264</v>
      </c>
      <c r="E2" s="88" t="s">
        <v>308</v>
      </c>
      <c r="F2" s="88" t="s">
        <v>265</v>
      </c>
      <c r="G2" s="88" t="s">
        <v>266</v>
      </c>
      <c r="H2" s="88" t="s">
        <v>267</v>
      </c>
      <c r="I2" s="88" t="s">
        <v>268</v>
      </c>
      <c r="J2" s="89" t="s">
        <v>269</v>
      </c>
      <c r="L2" s="70" t="s">
        <v>270</v>
      </c>
      <c r="M2" s="78" t="s">
        <v>271</v>
      </c>
    </row>
    <row r="3" spans="1:13" ht="15" customHeight="1" x14ac:dyDescent="0.35">
      <c r="A3" s="90">
        <v>2025</v>
      </c>
      <c r="B3" s="91">
        <f>1/(1+'Flux économiques'!$B$5)^0</f>
        <v>1</v>
      </c>
      <c r="C3" s="92">
        <f>-0.03*'Flux économiques'!$B$3</f>
        <v>-4110</v>
      </c>
      <c r="D3" s="92">
        <v>0</v>
      </c>
      <c r="E3" s="92">
        <v>0</v>
      </c>
      <c r="F3" s="92">
        <v>0</v>
      </c>
      <c r="G3" s="92">
        <v>0</v>
      </c>
      <c r="H3" s="93">
        <f t="shared" ref="H3:H52" si="0">SUM(C3:G3)</f>
        <v>-4110</v>
      </c>
      <c r="I3" s="92">
        <f t="shared" ref="I3:I52" si="1">H3*B3</f>
        <v>-4110</v>
      </c>
      <c r="J3" s="94">
        <f>I3/1000</f>
        <v>-4.1100000000000003</v>
      </c>
      <c r="L3" s="71" t="s">
        <v>272</v>
      </c>
      <c r="M3" s="79">
        <f>SUM(I3:I52)/1000</f>
        <v>267.07887921139121</v>
      </c>
    </row>
    <row r="4" spans="1:13" ht="15" customHeight="1" x14ac:dyDescent="0.35">
      <c r="A4" s="90">
        <v>2026</v>
      </c>
      <c r="B4" s="91">
        <f>1/(1+'Flux économiques'!$B$5)^1</f>
        <v>0.95693779904306231</v>
      </c>
      <c r="C4" s="92">
        <f>-0.05*'Flux économiques'!$B$3</f>
        <v>-6850</v>
      </c>
      <c r="D4" s="92">
        <v>0</v>
      </c>
      <c r="E4" s="92">
        <v>0</v>
      </c>
      <c r="F4" s="92">
        <v>0</v>
      </c>
      <c r="G4" s="92">
        <v>0</v>
      </c>
      <c r="H4" s="93">
        <f t="shared" si="0"/>
        <v>-6850</v>
      </c>
      <c r="I4" s="92">
        <f t="shared" si="1"/>
        <v>-6555.0239234449764</v>
      </c>
      <c r="J4" s="94">
        <f t="shared" ref="J4:J52" si="2">J3+I4/1000</f>
        <v>-10.665023923444977</v>
      </c>
      <c r="L4" s="72" t="s">
        <v>273</v>
      </c>
      <c r="M4" s="80">
        <f>IRR(H3:H52)</f>
        <v>0.13681753289548548</v>
      </c>
    </row>
    <row r="5" spans="1:13" ht="15" customHeight="1" x14ac:dyDescent="0.35">
      <c r="A5" s="90">
        <v>2027</v>
      </c>
      <c r="B5" s="91">
        <f>1/(1+'Flux économiques'!$B$5)^2</f>
        <v>0.91572995123738021</v>
      </c>
      <c r="C5" s="92">
        <f>-0.1*'Flux économiques'!$B$3</f>
        <v>-13700</v>
      </c>
      <c r="D5" s="92">
        <v>0</v>
      </c>
      <c r="E5" s="92">
        <v>0</v>
      </c>
      <c r="F5" s="92">
        <v>0</v>
      </c>
      <c r="G5" s="92">
        <v>0</v>
      </c>
      <c r="H5" s="93">
        <f t="shared" si="0"/>
        <v>-13700</v>
      </c>
      <c r="I5" s="92">
        <f t="shared" si="1"/>
        <v>-12545.500331952109</v>
      </c>
      <c r="J5" s="94">
        <f t="shared" si="2"/>
        <v>-23.210524255397086</v>
      </c>
      <c r="L5" s="73"/>
      <c r="M5" s="81"/>
    </row>
    <row r="6" spans="1:13" ht="15" customHeight="1" x14ac:dyDescent="0.35">
      <c r="A6" s="90">
        <v>2028</v>
      </c>
      <c r="B6" s="91">
        <f>1/(1+'Flux économiques'!$B$5)^3</f>
        <v>0.87629660405490928</v>
      </c>
      <c r="C6" s="92">
        <f>-0.15*'Flux économiques'!$B$3</f>
        <v>-20550</v>
      </c>
      <c r="D6" s="92">
        <v>0</v>
      </c>
      <c r="E6" s="92">
        <v>0</v>
      </c>
      <c r="F6" s="92">
        <v>0</v>
      </c>
      <c r="G6" s="92">
        <v>0</v>
      </c>
      <c r="H6" s="93">
        <f t="shared" si="0"/>
        <v>-20550</v>
      </c>
      <c r="I6" s="92">
        <f t="shared" si="1"/>
        <v>-18007.895213328386</v>
      </c>
      <c r="J6" s="94">
        <f t="shared" si="2"/>
        <v>-41.218419468725472</v>
      </c>
      <c r="L6" s="74" t="s">
        <v>274</v>
      </c>
      <c r="M6" s="82">
        <f>SUM(C3:C52)+SUM(F3:F52)+SUM(G3:G52)</f>
        <v>-281581.1348409091</v>
      </c>
    </row>
    <row r="7" spans="1:13" ht="15" customHeight="1" x14ac:dyDescent="0.35">
      <c r="A7" s="90">
        <v>2029</v>
      </c>
      <c r="B7" s="91">
        <f>1/(1+'Flux économiques'!$B$5)^4</f>
        <v>0.83856134359321488</v>
      </c>
      <c r="C7" s="92">
        <f>-0.2*'Flux économiques'!$B$3</f>
        <v>-27400</v>
      </c>
      <c r="D7" s="92">
        <v>0</v>
      </c>
      <c r="E7" s="92">
        <v>0</v>
      </c>
      <c r="F7" s="92">
        <v>0</v>
      </c>
      <c r="G7" s="92">
        <v>0</v>
      </c>
      <c r="H7" s="93">
        <f t="shared" si="0"/>
        <v>-27400</v>
      </c>
      <c r="I7" s="92">
        <f t="shared" si="1"/>
        <v>-22976.580814454086</v>
      </c>
      <c r="J7" s="94">
        <f t="shared" si="2"/>
        <v>-64.195000283179553</v>
      </c>
      <c r="L7" s="75" t="s">
        <v>275</v>
      </c>
      <c r="M7" s="83">
        <f>SUM(I3:I52)-SUM(C3:C52)-SUM(F3:F52)-SUM(G3:G52)</f>
        <v>548660.01405230025</v>
      </c>
    </row>
    <row r="8" spans="1:13" ht="15" customHeight="1" x14ac:dyDescent="0.35">
      <c r="A8" s="90">
        <v>2030</v>
      </c>
      <c r="B8" s="91">
        <f>1/(1+'Flux économiques'!$B$5)^5</f>
        <v>0.80245104650068411</v>
      </c>
      <c r="C8" s="92">
        <f>-0.22*'Flux économiques'!$B$3</f>
        <v>-30140</v>
      </c>
      <c r="D8" s="92">
        <v>0</v>
      </c>
      <c r="E8" s="92">
        <v>0</v>
      </c>
      <c r="F8" s="92">
        <v>0</v>
      </c>
      <c r="G8" s="92">
        <v>0</v>
      </c>
      <c r="H8" s="93">
        <f t="shared" si="0"/>
        <v>-30140</v>
      </c>
      <c r="I8" s="92">
        <f t="shared" si="1"/>
        <v>-24185.874541530618</v>
      </c>
      <c r="J8" s="94">
        <f t="shared" si="2"/>
        <v>-88.380874824710176</v>
      </c>
      <c r="L8" s="73"/>
      <c r="M8" s="81"/>
    </row>
    <row r="9" spans="1:13" ht="15" customHeight="1" x14ac:dyDescent="0.35">
      <c r="A9" s="90">
        <v>2031</v>
      </c>
      <c r="B9" s="91">
        <f>1/(1+'Flux économiques'!$B$5)^6</f>
        <v>0.76789573827816682</v>
      </c>
      <c r="C9" s="92">
        <f>-0.15*'Flux économiques'!$B$3</f>
        <v>-20550</v>
      </c>
      <c r="D9" s="92">
        <v>0</v>
      </c>
      <c r="E9" s="92">
        <v>0</v>
      </c>
      <c r="F9" s="92">
        <v>0</v>
      </c>
      <c r="G9" s="92">
        <v>0</v>
      </c>
      <c r="H9" s="93">
        <f t="shared" si="0"/>
        <v>-20550</v>
      </c>
      <c r="I9" s="92">
        <f t="shared" si="1"/>
        <v>-15780.257421616328</v>
      </c>
      <c r="J9" s="94">
        <f t="shared" si="2"/>
        <v>-104.1611322463265</v>
      </c>
      <c r="L9" s="76" t="s">
        <v>276</v>
      </c>
      <c r="M9" s="84">
        <f>(SUM(I3:I52)/1000)/('Flux économiques'!$B$3/1000)</f>
        <v>1.9494808701561401</v>
      </c>
    </row>
    <row r="10" spans="1:13" ht="15" customHeight="1" x14ac:dyDescent="0.35">
      <c r="A10" s="90">
        <v>2032</v>
      </c>
      <c r="B10" s="91">
        <f>1/(1+'Flux économiques'!$B$5)^7</f>
        <v>0.73482845768245619</v>
      </c>
      <c r="C10" s="92">
        <f>-0.1*'Flux économiques'!$B$3</f>
        <v>-13700</v>
      </c>
      <c r="D10" s="92">
        <v>0</v>
      </c>
      <c r="E10" s="92">
        <v>0</v>
      </c>
      <c r="F10" s="92">
        <v>0</v>
      </c>
      <c r="G10" s="92">
        <v>0</v>
      </c>
      <c r="H10" s="93">
        <f t="shared" si="0"/>
        <v>-13700</v>
      </c>
      <c r="I10" s="92">
        <f t="shared" si="1"/>
        <v>-10067.14987024965</v>
      </c>
      <c r="J10" s="94">
        <f t="shared" si="2"/>
        <v>-114.22828211657615</v>
      </c>
      <c r="L10" s="77" t="s">
        <v>277</v>
      </c>
      <c r="M10" s="83">
        <f>AVERAGE(H3:H52)</f>
        <v>20551.177303181816</v>
      </c>
    </row>
    <row r="11" spans="1:13" ht="15" customHeight="1" x14ac:dyDescent="0.35">
      <c r="A11" s="90">
        <v>2033</v>
      </c>
      <c r="B11" s="91">
        <f>1/(1+'Flux économiques'!$B$5)^8</f>
        <v>0.70318512696885782</v>
      </c>
      <c r="C11" s="92">
        <v>0</v>
      </c>
      <c r="D11" s="92">
        <f>'Flux économiques'!$B$6*1000000000*'Flux économiques'!$B$7/1000000</f>
        <v>28709.999999999996</v>
      </c>
      <c r="E11" s="92">
        <f>'Flux économiques'!$B$6*'Flux économiques'!$B$8/1000*'Flux économiques'!$B$9</f>
        <v>2460</v>
      </c>
      <c r="F11" s="92">
        <f>-'Flux économiques'!$B$3*'Flux économiques'!$B$13</f>
        <v>-3425</v>
      </c>
      <c r="G11" s="92">
        <f>-'Flux économiques'!$B$10*'Flux économiques'!$B$11/1000000/10</f>
        <v>-73.113484090909097</v>
      </c>
      <c r="H11" s="93">
        <f t="shared" si="0"/>
        <v>27671.886515909086</v>
      </c>
      <c r="I11" s="92">
        <f t="shared" si="1"/>
        <v>19458.459033157356</v>
      </c>
      <c r="J11" s="94">
        <f t="shared" si="2"/>
        <v>-94.7698230834188</v>
      </c>
      <c r="L11" s="3"/>
      <c r="M11" s="3"/>
    </row>
    <row r="12" spans="1:13" ht="15" customHeight="1" x14ac:dyDescent="0.35">
      <c r="A12" s="90">
        <v>2034</v>
      </c>
      <c r="B12" s="91">
        <f>1/(1+'Flux économiques'!$B$5)^9</f>
        <v>0.67290442772139514</v>
      </c>
      <c r="C12" s="92">
        <v>0</v>
      </c>
      <c r="D12" s="92">
        <f>'Flux économiques'!$B$6*1000000000*'Flux économiques'!$B$7/1000000</f>
        <v>28709.999999999996</v>
      </c>
      <c r="E12" s="92">
        <f>'Flux économiques'!$B$6*'Flux économiques'!$B$8/1000*'Flux économiques'!$B$9</f>
        <v>2460</v>
      </c>
      <c r="F12" s="92">
        <f>-'Flux économiques'!$B$3*'Flux économiques'!$B$13</f>
        <v>-3425</v>
      </c>
      <c r="G12" s="92">
        <f>-'Flux économiques'!$B$10*'Flux économiques'!$B$11/1000000/10</f>
        <v>-73.113484090909097</v>
      </c>
      <c r="H12" s="93">
        <f t="shared" si="0"/>
        <v>27671.886515909086</v>
      </c>
      <c r="I12" s="92">
        <f t="shared" si="1"/>
        <v>18620.534959959194</v>
      </c>
      <c r="J12" s="94">
        <f t="shared" si="2"/>
        <v>-76.149288123459598</v>
      </c>
      <c r="L12" s="105"/>
      <c r="M12" s="30"/>
    </row>
    <row r="13" spans="1:13" ht="15" customHeight="1" x14ac:dyDescent="0.35">
      <c r="A13" s="90">
        <v>2035</v>
      </c>
      <c r="B13" s="91">
        <f>1/(1+'Flux économiques'!$B$5)^10</f>
        <v>0.64392768203004325</v>
      </c>
      <c r="C13" s="92">
        <v>0</v>
      </c>
      <c r="D13" s="92">
        <f>'Flux économiques'!$B$6*1000000000*'Flux économiques'!$B$7/1000000</f>
        <v>28709.999999999996</v>
      </c>
      <c r="E13" s="92">
        <f>'Flux économiques'!$B$6*'Flux économiques'!$B$8/1000*'Flux économiques'!$B$9</f>
        <v>2460</v>
      </c>
      <c r="F13" s="92">
        <f>-'Flux économiques'!$B$3*'Flux économiques'!$B$13</f>
        <v>-3425</v>
      </c>
      <c r="G13" s="92">
        <f>-'Flux économiques'!$B$10*'Flux économiques'!$B$11/1000000/10</f>
        <v>-73.113484090909097</v>
      </c>
      <c r="H13" s="93">
        <f t="shared" si="0"/>
        <v>27671.886515909086</v>
      </c>
      <c r="I13" s="92">
        <f t="shared" si="1"/>
        <v>17818.693741587747</v>
      </c>
      <c r="J13" s="94">
        <f t="shared" si="2"/>
        <v>-58.330594381871848</v>
      </c>
      <c r="L13" s="105"/>
      <c r="M13" s="30"/>
    </row>
    <row r="14" spans="1:13" ht="15" customHeight="1" x14ac:dyDescent="0.35">
      <c r="A14" s="90">
        <v>2036</v>
      </c>
      <c r="B14" s="91">
        <f>1/(1+'Flux économiques'!$B$5)^11</f>
        <v>0.61619873878473042</v>
      </c>
      <c r="C14" s="92">
        <v>0</v>
      </c>
      <c r="D14" s="92">
        <f>'Flux économiques'!$B$6*1000000000*'Flux économiques'!$B$7/1000000</f>
        <v>28709.999999999996</v>
      </c>
      <c r="E14" s="92">
        <f>'Flux économiques'!$B$6*'Flux économiques'!$B$8/1000*'Flux économiques'!$B$9</f>
        <v>2460</v>
      </c>
      <c r="F14" s="92">
        <f>-'Flux économiques'!$B$3*'Flux économiques'!$B$13</f>
        <v>-3425</v>
      </c>
      <c r="G14" s="92">
        <f>-'Flux économiques'!$B$10*'Flux économiques'!$B$11/1000000/10</f>
        <v>-73.113484090909097</v>
      </c>
      <c r="H14" s="93">
        <f t="shared" si="0"/>
        <v>27671.886515909086</v>
      </c>
      <c r="I14" s="92">
        <f t="shared" si="1"/>
        <v>17051.381570897367</v>
      </c>
      <c r="J14" s="94">
        <f t="shared" si="2"/>
        <v>-41.279212810974485</v>
      </c>
      <c r="L14" s="106"/>
      <c r="M14" s="106"/>
    </row>
    <row r="15" spans="1:13" ht="15" customHeight="1" x14ac:dyDescent="0.35">
      <c r="A15" s="90">
        <v>2037</v>
      </c>
      <c r="B15" s="91">
        <f>1/(1+'Flux économiques'!$B$5)^12</f>
        <v>0.58966386486577083</v>
      </c>
      <c r="C15" s="92">
        <v>0</v>
      </c>
      <c r="D15" s="92">
        <f>'Flux économiques'!$B$6*1000000000*'Flux économiques'!$B$7/1000000</f>
        <v>28709.999999999996</v>
      </c>
      <c r="E15" s="92">
        <f>'Flux économiques'!$B$6*'Flux économiques'!$B$8/1000*'Flux économiques'!$B$9</f>
        <v>2460</v>
      </c>
      <c r="F15" s="92">
        <f>-'Flux économiques'!$B$3*'Flux économiques'!$B$13</f>
        <v>-3425</v>
      </c>
      <c r="G15" s="92">
        <f>-'Flux économiques'!$B$10*'Flux économiques'!$B$11/1000000/10</f>
        <v>-73.113484090909097</v>
      </c>
      <c r="H15" s="93">
        <f t="shared" si="0"/>
        <v>27671.886515909086</v>
      </c>
      <c r="I15" s="92">
        <f t="shared" si="1"/>
        <v>16317.111551097962</v>
      </c>
      <c r="J15" s="94">
        <f t="shared" si="2"/>
        <v>-24.962101259876523</v>
      </c>
      <c r="L15" s="106"/>
      <c r="M15" s="106"/>
    </row>
    <row r="16" spans="1:13" ht="15" customHeight="1" x14ac:dyDescent="0.35">
      <c r="A16" s="90">
        <v>2038</v>
      </c>
      <c r="B16" s="91">
        <f>1/(1+'Flux économiques'!$B$5)^13</f>
        <v>0.56427164101987637</v>
      </c>
      <c r="C16" s="92">
        <v>0</v>
      </c>
      <c r="D16" s="92">
        <f>'Flux économiques'!$B$6*1000000000*'Flux économiques'!$B$7/1000000</f>
        <v>28709.999999999996</v>
      </c>
      <c r="E16" s="92">
        <f>'Flux économiques'!$B$6*'Flux économiques'!$B$8/1000*'Flux économiques'!$B$9</f>
        <v>2460</v>
      </c>
      <c r="F16" s="92">
        <f>-'Flux économiques'!$B$3*'Flux économiques'!$B$13</f>
        <v>-3425</v>
      </c>
      <c r="G16" s="92">
        <f>-'Flux économiques'!$B$10*'Flux économiques'!$B$11/1000000/10</f>
        <v>-73.113484090909097</v>
      </c>
      <c r="H16" s="93">
        <f t="shared" si="0"/>
        <v>27671.886515909086</v>
      </c>
      <c r="I16" s="92">
        <f t="shared" si="1"/>
        <v>15614.46081444781</v>
      </c>
      <c r="J16" s="94">
        <f t="shared" si="2"/>
        <v>-9.3476404454287128</v>
      </c>
    </row>
    <row r="17" spans="1:10" ht="15" customHeight="1" x14ac:dyDescent="0.35">
      <c r="A17" s="90">
        <v>2039</v>
      </c>
      <c r="B17" s="91">
        <f>1/(1+'Flux économiques'!$B$5)^14</f>
        <v>0.53997286221997753</v>
      </c>
      <c r="C17" s="92">
        <v>0</v>
      </c>
      <c r="D17" s="92">
        <f>'Flux économiques'!$B$6*1000000000*'Flux économiques'!$B$7/1000000</f>
        <v>28709.999999999996</v>
      </c>
      <c r="E17" s="92">
        <f>'Flux économiques'!$B$6*'Flux économiques'!$B$8/1000*'Flux économiques'!$B$9</f>
        <v>2460</v>
      </c>
      <c r="F17" s="92">
        <f>-'Flux économiques'!$B$3*'Flux économiques'!$B$13</f>
        <v>-3425</v>
      </c>
      <c r="G17" s="92">
        <f>-'Flux économiques'!$B$10*'Flux économiques'!$B$11/1000000/10</f>
        <v>-73.113484090909097</v>
      </c>
      <c r="H17" s="93">
        <f t="shared" si="0"/>
        <v>27671.886515909086</v>
      </c>
      <c r="I17" s="92">
        <f t="shared" si="1"/>
        <v>14942.067765021831</v>
      </c>
      <c r="J17" s="94">
        <f t="shared" si="2"/>
        <v>5.5944273195931178</v>
      </c>
    </row>
    <row r="18" spans="1:10" ht="15" customHeight="1" x14ac:dyDescent="0.35">
      <c r="A18" s="90">
        <v>2040</v>
      </c>
      <c r="B18" s="91">
        <f>1/(1+'Flux économiques'!$B$5)^15</f>
        <v>0.51672044231576797</v>
      </c>
      <c r="C18" s="92">
        <v>0</v>
      </c>
      <c r="D18" s="92">
        <f>'Flux économiques'!$B$6*1000000000*'Flux économiques'!$B$7/1000000</f>
        <v>28709.999999999996</v>
      </c>
      <c r="E18" s="92">
        <f>'Flux économiques'!$B$6*'Flux économiques'!$B$8/1000*'Flux économiques'!$B$9</f>
        <v>2460</v>
      </c>
      <c r="F18" s="92">
        <f>-'Flux économiques'!$B$3*'Flux économiques'!$B$13</f>
        <v>-3425</v>
      </c>
      <c r="G18" s="92">
        <f>-'Flux économiques'!$B$10*'Flux économiques'!$B$11/1000000/10</f>
        <v>-73.113484090909097</v>
      </c>
      <c r="H18" s="93">
        <f t="shared" si="0"/>
        <v>27671.886515909086</v>
      </c>
      <c r="I18" s="92">
        <f t="shared" si="1"/>
        <v>14298.629440212278</v>
      </c>
      <c r="J18" s="94">
        <f t="shared" si="2"/>
        <v>19.893056759805397</v>
      </c>
    </row>
    <row r="19" spans="1:10" ht="15" customHeight="1" x14ac:dyDescent="0.35">
      <c r="A19" s="90">
        <v>2041</v>
      </c>
      <c r="B19" s="91">
        <f>1/(1+'Flux économiques'!$B$5)^16</f>
        <v>0.49446932279020878</v>
      </c>
      <c r="C19" s="92">
        <v>0</v>
      </c>
      <c r="D19" s="92">
        <f>'Flux économiques'!$B$6*1000000000*'Flux économiques'!$B$7/1000000</f>
        <v>28709.999999999996</v>
      </c>
      <c r="E19" s="92">
        <f>'Flux économiques'!$B$6*'Flux économiques'!$B$8/1000*'Flux économiques'!$B$9</f>
        <v>2460</v>
      </c>
      <c r="F19" s="92">
        <f>-'Flux économiques'!$B$3*'Flux économiques'!$B$13</f>
        <v>-3425</v>
      </c>
      <c r="G19" s="92">
        <f>-'Flux économiques'!$B$10*'Flux économiques'!$B$11/1000000/10</f>
        <v>-73.113484090909097</v>
      </c>
      <c r="H19" s="93">
        <f t="shared" si="0"/>
        <v>27671.886515909086</v>
      </c>
      <c r="I19" s="92">
        <f t="shared" si="1"/>
        <v>13682.898985849075</v>
      </c>
      <c r="J19" s="94">
        <f t="shared" si="2"/>
        <v>33.575955745654468</v>
      </c>
    </row>
    <row r="20" spans="1:10" ht="15" customHeight="1" x14ac:dyDescent="0.35">
      <c r="A20" s="90">
        <v>2042</v>
      </c>
      <c r="B20" s="91">
        <f>1/(1+'Flux économiques'!$B$5)^17</f>
        <v>0.47317638544517582</v>
      </c>
      <c r="C20" s="92">
        <v>0</v>
      </c>
      <c r="D20" s="92">
        <f>'Flux économiques'!$B$6*1000000000*'Flux économiques'!$B$7/1000000</f>
        <v>28709.999999999996</v>
      </c>
      <c r="E20" s="92">
        <f>'Flux économiques'!$B$6*'Flux économiques'!$B$8/1000*'Flux économiques'!$B$9</f>
        <v>2460</v>
      </c>
      <c r="F20" s="92">
        <f>-'Flux économiques'!$B$3*'Flux économiques'!$B$13</f>
        <v>-3425</v>
      </c>
      <c r="G20" s="92">
        <f>-'Flux économiques'!$B$10*'Flux économiques'!$B$11/1000000/10</f>
        <v>-73.113484090909097</v>
      </c>
      <c r="H20" s="93">
        <f t="shared" si="0"/>
        <v>27671.886515909086</v>
      </c>
      <c r="I20" s="92">
        <f t="shared" si="1"/>
        <v>13093.683240046961</v>
      </c>
      <c r="J20" s="94">
        <f t="shared" si="2"/>
        <v>46.669638985701425</v>
      </c>
    </row>
    <row r="21" spans="1:10" ht="15" customHeight="1" x14ac:dyDescent="0.35">
      <c r="A21" s="90">
        <v>2043</v>
      </c>
      <c r="B21" s="91">
        <f>1/(1+'Flux économiques'!$B$5)^18</f>
        <v>0.45280036884705832</v>
      </c>
      <c r="C21" s="92">
        <v>0</v>
      </c>
      <c r="D21" s="92">
        <f>'Flux économiques'!$B$6*1000000000*'Flux économiques'!$B$7/1000000</f>
        <v>28709.999999999996</v>
      </c>
      <c r="E21" s="92">
        <f>'Flux économiques'!$B$6*'Flux économiques'!$B$8/1000*'Flux économiques'!$B$9</f>
        <v>2460</v>
      </c>
      <c r="F21" s="92">
        <f>-'Flux économiques'!$B$3*'Flux économiques'!$B$13</f>
        <v>-3425</v>
      </c>
      <c r="G21" s="92">
        <v>0</v>
      </c>
      <c r="H21" s="93">
        <f t="shared" si="0"/>
        <v>27744.999999999996</v>
      </c>
      <c r="I21" s="92">
        <f t="shared" si="1"/>
        <v>12562.946233661631</v>
      </c>
      <c r="J21" s="94">
        <f t="shared" si="2"/>
        <v>59.23258521936306</v>
      </c>
    </row>
    <row r="22" spans="1:10" ht="15" customHeight="1" x14ac:dyDescent="0.35">
      <c r="A22" s="90">
        <v>2044</v>
      </c>
      <c r="B22" s="91">
        <f>1/(1+'Flux économiques'!$B$5)^19</f>
        <v>0.43330178837039074</v>
      </c>
      <c r="C22" s="92">
        <v>0</v>
      </c>
      <c r="D22" s="92">
        <f>'Flux économiques'!$B$6*1000000000*'Flux économiques'!$B$7/1000000</f>
        <v>28709.999999999996</v>
      </c>
      <c r="E22" s="92">
        <f>'Flux économiques'!$B$6*'Flux économiques'!$B$8/1000*'Flux économiques'!$B$9</f>
        <v>2460</v>
      </c>
      <c r="F22" s="92">
        <f>-'Flux économiques'!$B$3*'Flux économiques'!$B$13</f>
        <v>-3425</v>
      </c>
      <c r="G22" s="92">
        <v>0</v>
      </c>
      <c r="H22" s="93">
        <f t="shared" si="0"/>
        <v>27744.999999999996</v>
      </c>
      <c r="I22" s="92">
        <f t="shared" si="1"/>
        <v>12021.95811833649</v>
      </c>
      <c r="J22" s="94">
        <f t="shared" si="2"/>
        <v>71.254543337699545</v>
      </c>
    </row>
    <row r="23" spans="1:10" ht="15" customHeight="1" x14ac:dyDescent="0.35">
      <c r="A23" s="90">
        <v>2045</v>
      </c>
      <c r="B23" s="91">
        <f>1/(1+'Flux économiques'!$B$5)^20</f>
        <v>0.41464285968458453</v>
      </c>
      <c r="C23" s="92">
        <v>0</v>
      </c>
      <c r="D23" s="92">
        <f>'Flux économiques'!$B$6*1000000000*'Flux économiques'!$B$7/1000000</f>
        <v>28709.999999999996</v>
      </c>
      <c r="E23" s="92">
        <f>'Flux économiques'!$B$6*'Flux économiques'!$B$8/1000*'Flux économiques'!$B$9</f>
        <v>2460</v>
      </c>
      <c r="F23" s="92">
        <f>-'Flux économiques'!$B$3*'Flux économiques'!$B$13</f>
        <v>-3425</v>
      </c>
      <c r="G23" s="92">
        <v>0</v>
      </c>
      <c r="H23" s="93">
        <f t="shared" si="0"/>
        <v>27744.999999999996</v>
      </c>
      <c r="I23" s="92">
        <f t="shared" si="1"/>
        <v>11504.266141948796</v>
      </c>
      <c r="J23" s="94">
        <f t="shared" si="2"/>
        <v>82.758809479648335</v>
      </c>
    </row>
    <row r="24" spans="1:10" ht="15" customHeight="1" x14ac:dyDescent="0.35">
      <c r="A24" s="90">
        <v>2046</v>
      </c>
      <c r="B24" s="91">
        <f>1/(1+'Flux économiques'!$B$5)^21</f>
        <v>0.39678742553548757</v>
      </c>
      <c r="C24" s="92">
        <v>0</v>
      </c>
      <c r="D24" s="92">
        <f>'Flux économiques'!$B$6*1000000000*'Flux économiques'!$B$7/1000000</f>
        <v>28709.999999999996</v>
      </c>
      <c r="E24" s="92">
        <f>'Flux économiques'!$B$6*'Flux économiques'!$B$8/1000*'Flux économiques'!$B$9</f>
        <v>2460</v>
      </c>
      <c r="F24" s="92">
        <f>-'Flux économiques'!$B$3*'Flux économiques'!$B$13</f>
        <v>-3425</v>
      </c>
      <c r="G24" s="92">
        <v>0</v>
      </c>
      <c r="H24" s="93">
        <f t="shared" si="0"/>
        <v>27744.999999999996</v>
      </c>
      <c r="I24" s="92">
        <f t="shared" si="1"/>
        <v>11008.867121482101</v>
      </c>
      <c r="J24" s="94">
        <f t="shared" si="2"/>
        <v>93.767676601130432</v>
      </c>
    </row>
    <row r="25" spans="1:10" ht="15" customHeight="1" x14ac:dyDescent="0.35">
      <c r="A25" s="90">
        <v>2047</v>
      </c>
      <c r="B25" s="91">
        <f>1/(1+'Flux économiques'!$B$5)^22</f>
        <v>0.37970088567989252</v>
      </c>
      <c r="C25" s="92">
        <v>0</v>
      </c>
      <c r="D25" s="92">
        <f>'Flux économiques'!$B$6*1000000000*'Flux économiques'!$B$7/1000000</f>
        <v>28709.999999999996</v>
      </c>
      <c r="E25" s="92">
        <f>'Flux économiques'!$B$6*'Flux économiques'!$B$8/1000*'Flux économiques'!$B$9</f>
        <v>2460</v>
      </c>
      <c r="F25" s="92">
        <f>-'Flux économiques'!$B$3*'Flux économiques'!$B$13</f>
        <v>-3425</v>
      </c>
      <c r="G25" s="92">
        <v>0</v>
      </c>
      <c r="H25" s="93">
        <f t="shared" si="0"/>
        <v>27744.999999999996</v>
      </c>
      <c r="I25" s="92">
        <f t="shared" si="1"/>
        <v>10534.801073188617</v>
      </c>
      <c r="J25" s="94">
        <f t="shared" si="2"/>
        <v>104.30247767431905</v>
      </c>
    </row>
    <row r="26" spans="1:10" ht="15" customHeight="1" x14ac:dyDescent="0.35">
      <c r="A26" s="90">
        <v>2048</v>
      </c>
      <c r="B26" s="91">
        <f>1/(1+'Flux économiques'!$B$5)^23</f>
        <v>0.36335012983721771</v>
      </c>
      <c r="C26" s="92">
        <v>0</v>
      </c>
      <c r="D26" s="92">
        <f>'Flux économiques'!$B$6*1000000000*'Flux économiques'!$B$7/1000000</f>
        <v>28709.999999999996</v>
      </c>
      <c r="E26" s="92">
        <f>'Flux économiques'!$B$6*'Flux économiques'!$B$8/1000*'Flux économiques'!$B$9</f>
        <v>2460</v>
      </c>
      <c r="F26" s="92">
        <f>-'Flux économiques'!$B$3*'Flux économiques'!$B$13</f>
        <v>-3425</v>
      </c>
      <c r="G26" s="92">
        <v>0</v>
      </c>
      <c r="H26" s="93">
        <f t="shared" si="0"/>
        <v>27744.999999999996</v>
      </c>
      <c r="I26" s="92">
        <f t="shared" si="1"/>
        <v>10081.149352333603</v>
      </c>
      <c r="J26" s="94">
        <f t="shared" si="2"/>
        <v>114.38362702665265</v>
      </c>
    </row>
    <row r="27" spans="1:10" ht="15" customHeight="1" x14ac:dyDescent="0.35">
      <c r="A27" s="90">
        <v>2049</v>
      </c>
      <c r="B27" s="91">
        <f>1/(1+'Flux économiques'!$B$5)^24</f>
        <v>0.34770347352843806</v>
      </c>
      <c r="C27" s="92">
        <v>0</v>
      </c>
      <c r="D27" s="92">
        <f>'Flux économiques'!$B$6*1000000000*'Flux économiques'!$B$7/1000000</f>
        <v>28709.999999999996</v>
      </c>
      <c r="E27" s="92">
        <f>'Flux économiques'!$B$6*'Flux économiques'!$B$8/1000*'Flux économiques'!$B$9</f>
        <v>2460</v>
      </c>
      <c r="F27" s="92">
        <f>-'Flux économiques'!$B$3*'Flux économiques'!$B$13</f>
        <v>-3425</v>
      </c>
      <c r="G27" s="92">
        <v>0</v>
      </c>
      <c r="H27" s="93">
        <f t="shared" si="0"/>
        <v>27744.999999999996</v>
      </c>
      <c r="I27" s="92">
        <f t="shared" si="1"/>
        <v>9647.0328730465135</v>
      </c>
      <c r="J27" s="94">
        <f t="shared" si="2"/>
        <v>124.03065989969916</v>
      </c>
    </row>
    <row r="28" spans="1:10" ht="15" customHeight="1" x14ac:dyDescent="0.35">
      <c r="A28" s="90">
        <v>2050</v>
      </c>
      <c r="B28" s="91">
        <f>1/(1+'Flux économiques'!$B$5)^25</f>
        <v>0.3327305966779312</v>
      </c>
      <c r="C28" s="92">
        <v>0</v>
      </c>
      <c r="D28" s="92">
        <f>'Flux économiques'!$B$6*1000000000*'Flux économiques'!$B$7/1000000</f>
        <v>28709.999999999996</v>
      </c>
      <c r="E28" s="92">
        <f>'Flux économiques'!$B$6*'Flux économiques'!$B$8/1000*'Flux économiques'!$B$9</f>
        <v>2460</v>
      </c>
      <c r="F28" s="92">
        <f>-'Flux économiques'!$B$3*'Flux économiques'!$B$13</f>
        <v>-3425</v>
      </c>
      <c r="G28" s="92">
        <v>0</v>
      </c>
      <c r="H28" s="93">
        <f t="shared" si="0"/>
        <v>27744.999999999996</v>
      </c>
      <c r="I28" s="92">
        <f t="shared" si="1"/>
        <v>9231.6104048292</v>
      </c>
      <c r="J28" s="94">
        <f t="shared" si="2"/>
        <v>133.26227030452836</v>
      </c>
    </row>
    <row r="29" spans="1:10" ht="15" customHeight="1" x14ac:dyDescent="0.35">
      <c r="A29" s="90">
        <v>2051</v>
      </c>
      <c r="B29" s="91">
        <f>1/(1+'Flux économiques'!$B$5)^26</f>
        <v>0.31840248485926437</v>
      </c>
      <c r="C29" s="92">
        <v>0</v>
      </c>
      <c r="D29" s="92">
        <f>'Flux économiques'!$B$6*1000000000*'Flux économiques'!$B$7/1000000</f>
        <v>28709.999999999996</v>
      </c>
      <c r="E29" s="92">
        <f>'Flux économiques'!$B$6*'Flux économiques'!$B$8/1000*'Flux économiques'!$B$9</f>
        <v>2460</v>
      </c>
      <c r="F29" s="92">
        <f>-'Flux économiques'!$B$3*'Flux économiques'!$B$13</f>
        <v>-3425</v>
      </c>
      <c r="G29" s="92">
        <v>0</v>
      </c>
      <c r="H29" s="93">
        <f t="shared" si="0"/>
        <v>27744.999999999996</v>
      </c>
      <c r="I29" s="92">
        <f t="shared" si="1"/>
        <v>8834.0769424202881</v>
      </c>
      <c r="J29" s="94">
        <f t="shared" si="2"/>
        <v>142.09634724694865</v>
      </c>
    </row>
    <row r="30" spans="1:10" ht="15" customHeight="1" x14ac:dyDescent="0.35">
      <c r="A30" s="90">
        <v>2052</v>
      </c>
      <c r="B30" s="91">
        <f>1/(1+'Flux économiques'!$B$5)^27</f>
        <v>0.30469137307106642</v>
      </c>
      <c r="C30" s="92">
        <v>0</v>
      </c>
      <c r="D30" s="92">
        <f>'Flux économiques'!$B$6*1000000000*'Flux économiques'!$B$7/1000000</f>
        <v>28709.999999999996</v>
      </c>
      <c r="E30" s="92">
        <f>'Flux économiques'!$B$6*'Flux économiques'!$B$8/1000*'Flux économiques'!$B$9</f>
        <v>2460</v>
      </c>
      <c r="F30" s="92">
        <f>-'Flux économiques'!$B$3*'Flux économiques'!$B$13</f>
        <v>-3425</v>
      </c>
      <c r="G30" s="92">
        <v>0</v>
      </c>
      <c r="H30" s="93">
        <f t="shared" si="0"/>
        <v>27744.999999999996</v>
      </c>
      <c r="I30" s="92">
        <f t="shared" si="1"/>
        <v>8453.662145856737</v>
      </c>
      <c r="J30" s="94">
        <f t="shared" si="2"/>
        <v>150.55000939280538</v>
      </c>
    </row>
    <row r="31" spans="1:10" ht="15" customHeight="1" x14ac:dyDescent="0.35">
      <c r="A31" s="90">
        <v>2053</v>
      </c>
      <c r="B31" s="91">
        <f>1/(1+'Flux économiques'!$B$5)^28</f>
        <v>0.2915706919340349</v>
      </c>
      <c r="C31" s="92">
        <v>0</v>
      </c>
      <c r="D31" s="92">
        <f>'Flux économiques'!$B$6*1000000000*'Flux économiques'!$B$7/1000000</f>
        <v>28709.999999999996</v>
      </c>
      <c r="E31" s="92">
        <f>'Flux économiques'!$B$6*'Flux économiques'!$B$8/1000*'Flux économiques'!$B$9</f>
        <v>2460</v>
      </c>
      <c r="F31" s="92">
        <f>-'Flux économiques'!$B$3*'Flux économiques'!$B$13</f>
        <v>-3425</v>
      </c>
      <c r="G31" s="92">
        <v>0</v>
      </c>
      <c r="H31" s="93">
        <f t="shared" si="0"/>
        <v>27744.999999999996</v>
      </c>
      <c r="I31" s="92">
        <f t="shared" si="1"/>
        <v>8089.6288477097969</v>
      </c>
      <c r="J31" s="94">
        <f t="shared" si="2"/>
        <v>158.63963824051518</v>
      </c>
    </row>
    <row r="32" spans="1:10" ht="15" customHeight="1" x14ac:dyDescent="0.35">
      <c r="A32" s="90">
        <v>2054</v>
      </c>
      <c r="B32" s="91">
        <f>1/(1+'Flux économiques'!$B$5)^29</f>
        <v>0.27901501620481806</v>
      </c>
      <c r="C32" s="92">
        <v>0</v>
      </c>
      <c r="D32" s="92">
        <f>'Flux économiques'!$B$6*1000000000*'Flux économiques'!$B$7/1000000</f>
        <v>28709.999999999996</v>
      </c>
      <c r="E32" s="92">
        <f>'Flux économiques'!$B$6*'Flux économiques'!$B$8/1000*'Flux économiques'!$B$9</f>
        <v>2460</v>
      </c>
      <c r="F32" s="92">
        <f>-'Flux économiques'!$B$3*'Flux économiques'!$B$13</f>
        <v>-3425</v>
      </c>
      <c r="G32" s="92">
        <v>0</v>
      </c>
      <c r="H32" s="93">
        <f t="shared" si="0"/>
        <v>27744.999999999996</v>
      </c>
      <c r="I32" s="92">
        <f t="shared" si="1"/>
        <v>7741.2716246026757</v>
      </c>
      <c r="J32" s="94">
        <f t="shared" si="2"/>
        <v>166.38090986511787</v>
      </c>
    </row>
    <row r="33" spans="1:10" ht="15" customHeight="1" x14ac:dyDescent="0.35">
      <c r="A33" s="90">
        <v>2055</v>
      </c>
      <c r="B33" s="91">
        <f>1/(1+'Flux économiques'!$B$5)^30</f>
        <v>0.26700001550700303</v>
      </c>
      <c r="C33" s="92">
        <v>0</v>
      </c>
      <c r="D33" s="92">
        <f>'Flux économiques'!$B$6*1000000000*'Flux économiques'!$B$7/1000000</f>
        <v>28709.999999999996</v>
      </c>
      <c r="E33" s="92">
        <f>'Flux économiques'!$B$6*'Flux économiques'!$B$8/1000*'Flux économiques'!$B$9</f>
        <v>2460</v>
      </c>
      <c r="F33" s="92">
        <f>-'Flux économiques'!$B$3*'Flux économiques'!$B$13</f>
        <v>-3425</v>
      </c>
      <c r="G33" s="92">
        <v>0</v>
      </c>
      <c r="H33" s="93">
        <f t="shared" si="0"/>
        <v>27744.999999999996</v>
      </c>
      <c r="I33" s="92">
        <f t="shared" si="1"/>
        <v>7407.9154302417983</v>
      </c>
      <c r="J33" s="94">
        <f t="shared" si="2"/>
        <v>173.78882529535966</v>
      </c>
    </row>
    <row r="34" spans="1:10" ht="15" customHeight="1" x14ac:dyDescent="0.35">
      <c r="A34" s="90">
        <v>2056</v>
      </c>
      <c r="B34" s="91">
        <f>1/(1+'Flux économiques'!$B$5)^31</f>
        <v>0.2555024071837349</v>
      </c>
      <c r="C34" s="92">
        <v>0</v>
      </c>
      <c r="D34" s="92">
        <f>'Flux économiques'!$B$6*1000000000*'Flux économiques'!$B$7/1000000</f>
        <v>28709.999999999996</v>
      </c>
      <c r="E34" s="92">
        <f>'Flux économiques'!$B$6*'Flux économiques'!$B$8/1000*'Flux économiques'!$B$9</f>
        <v>2460</v>
      </c>
      <c r="F34" s="92">
        <f>-'Flux économiques'!$B$3*'Flux économiques'!$B$13</f>
        <v>-3425</v>
      </c>
      <c r="G34" s="92">
        <v>0</v>
      </c>
      <c r="H34" s="93">
        <f t="shared" si="0"/>
        <v>27744.999999999996</v>
      </c>
      <c r="I34" s="92">
        <f t="shared" si="1"/>
        <v>7088.9142873127239</v>
      </c>
      <c r="J34" s="94">
        <f t="shared" si="2"/>
        <v>180.87773958267238</v>
      </c>
    </row>
    <row r="35" spans="1:10" ht="15" customHeight="1" x14ac:dyDescent="0.35">
      <c r="A35" s="90">
        <v>2057</v>
      </c>
      <c r="B35" s="91">
        <f>1/(1+'Flux économiques'!$B$5)^32</f>
        <v>0.24449991118060768</v>
      </c>
      <c r="C35" s="92">
        <v>0</v>
      </c>
      <c r="D35" s="92">
        <f>'Flux économiques'!$B$6*1000000000*'Flux économiques'!$B$7/1000000</f>
        <v>28709.999999999996</v>
      </c>
      <c r="E35" s="92">
        <f>'Flux économiques'!$B$6*'Flux économiques'!$B$8/1000*'Flux économiques'!$B$9</f>
        <v>2460</v>
      </c>
      <c r="F35" s="92">
        <f>-'Flux économiques'!$B$3*'Flux économiques'!$B$13</f>
        <v>-3425</v>
      </c>
      <c r="G35" s="92">
        <v>0</v>
      </c>
      <c r="H35" s="93">
        <f t="shared" si="0"/>
        <v>27744.999999999996</v>
      </c>
      <c r="I35" s="92">
        <f t="shared" si="1"/>
        <v>6783.6500357059595</v>
      </c>
      <c r="J35" s="94">
        <f t="shared" si="2"/>
        <v>187.66138961837834</v>
      </c>
    </row>
    <row r="36" spans="1:10" ht="15" customHeight="1" x14ac:dyDescent="0.35">
      <c r="A36" s="90">
        <v>2058</v>
      </c>
      <c r="B36" s="91">
        <f>1/(1+'Flux économiques'!$B$5)^33</f>
        <v>0.23397120687139494</v>
      </c>
      <c r="C36" s="92">
        <v>0</v>
      </c>
      <c r="D36" s="92">
        <f>'Flux économiques'!$B$6*1000000000*'Flux économiques'!$B$7/1000000</f>
        <v>28709.999999999996</v>
      </c>
      <c r="E36" s="92">
        <f>'Flux économiques'!$B$6*'Flux économiques'!$B$8/1000*'Flux économiques'!$B$9</f>
        <v>2460</v>
      </c>
      <c r="F36" s="92">
        <f>-'Flux économiques'!$B$3*'Flux économiques'!$B$13</f>
        <v>-3425</v>
      </c>
      <c r="G36" s="92">
        <v>0</v>
      </c>
      <c r="H36" s="93">
        <f t="shared" si="0"/>
        <v>27744.999999999996</v>
      </c>
      <c r="I36" s="92">
        <f t="shared" si="1"/>
        <v>6491.5311346468516</v>
      </c>
      <c r="J36" s="94">
        <f t="shared" si="2"/>
        <v>194.1529207530252</v>
      </c>
    </row>
    <row r="37" spans="1:10" ht="15" customHeight="1" x14ac:dyDescent="0.35">
      <c r="A37" s="90">
        <v>2059</v>
      </c>
      <c r="B37" s="91">
        <f>1/(1+'Flux économiques'!$B$5)^34</f>
        <v>0.22389589174296168</v>
      </c>
      <c r="C37" s="92">
        <v>0</v>
      </c>
      <c r="D37" s="92">
        <f>'Flux économiques'!$B$6*1000000000*'Flux économiques'!$B$7/1000000</f>
        <v>28709.999999999996</v>
      </c>
      <c r="E37" s="92">
        <f>'Flux économiques'!$B$6*'Flux économiques'!$B$8/1000*'Flux économiques'!$B$9</f>
        <v>2460</v>
      </c>
      <c r="F37" s="92">
        <f>-'Flux économiques'!$B$3*'Flux économiques'!$B$13</f>
        <v>-3425</v>
      </c>
      <c r="G37" s="92">
        <v>0</v>
      </c>
      <c r="H37" s="93">
        <f t="shared" si="0"/>
        <v>27744.999999999996</v>
      </c>
      <c r="I37" s="92">
        <f t="shared" si="1"/>
        <v>6211.9915164084705</v>
      </c>
      <c r="J37" s="94">
        <f t="shared" si="2"/>
        <v>200.36491226943366</v>
      </c>
    </row>
    <row r="38" spans="1:10" ht="15" customHeight="1" x14ac:dyDescent="0.35">
      <c r="A38" s="90">
        <v>2060</v>
      </c>
      <c r="B38" s="91">
        <f>1/(1+'Flux économiques'!$B$5)^35</f>
        <v>0.21425444185929349</v>
      </c>
      <c r="C38" s="92">
        <v>0</v>
      </c>
      <c r="D38" s="92">
        <f>'Flux économiques'!$B$6*1000000000*'Flux économiques'!$B$7/1000000</f>
        <v>28709.999999999996</v>
      </c>
      <c r="E38" s="92">
        <f>'Flux économiques'!$B$6*'Flux économiques'!$B$8/1000*'Flux économiques'!$B$9</f>
        <v>2460</v>
      </c>
      <c r="F38" s="92">
        <f>-'Flux économiques'!$B$3*'Flux économiques'!$B$13</f>
        <v>-3425</v>
      </c>
      <c r="G38" s="92">
        <v>0</v>
      </c>
      <c r="H38" s="93">
        <f t="shared" si="0"/>
        <v>27744.999999999996</v>
      </c>
      <c r="I38" s="92">
        <f t="shared" si="1"/>
        <v>5944.4894893860974</v>
      </c>
      <c r="J38" s="94">
        <f t="shared" si="2"/>
        <v>206.30940175881975</v>
      </c>
    </row>
    <row r="39" spans="1:10" ht="15" customHeight="1" x14ac:dyDescent="0.35">
      <c r="A39" s="90">
        <v>2061</v>
      </c>
      <c r="B39" s="91">
        <f>1/(1+'Flux économiques'!$B$5)^36</f>
        <v>0.20502817402803208</v>
      </c>
      <c r="C39" s="92">
        <v>0</v>
      </c>
      <c r="D39" s="92">
        <f>'Flux économiques'!$B$6*1000000000*'Flux économiques'!$B$7/1000000</f>
        <v>28709.999999999996</v>
      </c>
      <c r="E39" s="92">
        <f>'Flux économiques'!$B$6*'Flux économiques'!$B$8/1000*'Flux économiques'!$B$9</f>
        <v>2460</v>
      </c>
      <c r="F39" s="92">
        <f>-'Flux économiques'!$B$3*'Flux économiques'!$B$13</f>
        <v>-3425</v>
      </c>
      <c r="G39" s="92">
        <v>0</v>
      </c>
      <c r="H39" s="93">
        <f t="shared" si="0"/>
        <v>27744.999999999996</v>
      </c>
      <c r="I39" s="92">
        <f t="shared" si="1"/>
        <v>5688.5066884077496</v>
      </c>
      <c r="J39" s="94">
        <f t="shared" si="2"/>
        <v>211.9979084472275</v>
      </c>
    </row>
    <row r="40" spans="1:10" ht="15" customHeight="1" x14ac:dyDescent="0.35">
      <c r="A40" s="90">
        <v>2062</v>
      </c>
      <c r="B40" s="91">
        <f>1/(1+'Flux économiques'!$B$5)^37</f>
        <v>0.19619920959620296</v>
      </c>
      <c r="C40" s="92">
        <v>0</v>
      </c>
      <c r="D40" s="92">
        <f>'Flux économiques'!$B$6*1000000000*'Flux économiques'!$B$7/1000000</f>
        <v>28709.999999999996</v>
      </c>
      <c r="E40" s="92">
        <f>'Flux économiques'!$B$6*'Flux économiques'!$B$8/1000*'Flux économiques'!$B$9</f>
        <v>2460</v>
      </c>
      <c r="F40" s="92">
        <f>-'Flux économiques'!$B$3*'Flux économiques'!$B$13</f>
        <v>-3425</v>
      </c>
      <c r="G40" s="92">
        <v>0</v>
      </c>
      <c r="H40" s="93">
        <f t="shared" si="0"/>
        <v>27744.999999999996</v>
      </c>
      <c r="I40" s="92">
        <f t="shared" si="1"/>
        <v>5443.54707024665</v>
      </c>
      <c r="J40" s="94">
        <f t="shared" si="2"/>
        <v>217.44145551747414</v>
      </c>
    </row>
    <row r="41" spans="1:10" ht="15" customHeight="1" x14ac:dyDescent="0.35">
      <c r="A41" s="90">
        <v>2063</v>
      </c>
      <c r="B41" s="91">
        <f>1/(1+'Flux économiques'!$B$5)^38</f>
        <v>0.18775043980497894</v>
      </c>
      <c r="C41" s="92">
        <v>0</v>
      </c>
      <c r="D41" s="92">
        <f>'Flux économiques'!$B$6*1000000000*'Flux économiques'!$B$7/1000000</f>
        <v>28709.999999999996</v>
      </c>
      <c r="E41" s="92">
        <f>'Flux économiques'!$B$6*'Flux économiques'!$B$8/1000*'Flux économiques'!$B$9</f>
        <v>2460</v>
      </c>
      <c r="F41" s="92">
        <f>-'Flux économiques'!$B$3*'Flux économiques'!$B$13</f>
        <v>-3425</v>
      </c>
      <c r="G41" s="92">
        <v>0</v>
      </c>
      <c r="H41" s="93">
        <f t="shared" si="0"/>
        <v>27744.999999999996</v>
      </c>
      <c r="I41" s="92">
        <f t="shared" si="1"/>
        <v>5209.1359523891397</v>
      </c>
      <c r="J41" s="94">
        <f t="shared" si="2"/>
        <v>222.65059146986329</v>
      </c>
    </row>
    <row r="42" spans="1:10" ht="15" customHeight="1" x14ac:dyDescent="0.35">
      <c r="A42" s="90">
        <v>2064</v>
      </c>
      <c r="B42" s="91">
        <f>1/(1+'Flux économiques'!$B$5)^39</f>
        <v>0.17966549263634349</v>
      </c>
      <c r="C42" s="92">
        <v>0</v>
      </c>
      <c r="D42" s="92">
        <f>'Flux économiques'!$B$6*1000000000*'Flux économiques'!$B$7/1000000</f>
        <v>28709.999999999996</v>
      </c>
      <c r="E42" s="92">
        <f>'Flux économiques'!$B$6*'Flux économiques'!$B$8/1000*'Flux économiques'!$B$9</f>
        <v>2460</v>
      </c>
      <c r="F42" s="92">
        <f>-'Flux économiques'!$B$3*'Flux économiques'!$B$13</f>
        <v>-3425</v>
      </c>
      <c r="G42" s="92">
        <v>0</v>
      </c>
      <c r="H42" s="93">
        <f t="shared" si="0"/>
        <v>27744.999999999996</v>
      </c>
      <c r="I42" s="92">
        <f t="shared" si="1"/>
        <v>4984.8190931953495</v>
      </c>
      <c r="J42" s="94">
        <f t="shared" si="2"/>
        <v>227.63541056305863</v>
      </c>
    </row>
    <row r="43" spans="1:10" ht="15" customHeight="1" x14ac:dyDescent="0.35">
      <c r="A43" s="90">
        <v>2065</v>
      </c>
      <c r="B43" s="91">
        <f>1/(1+'Flux économiques'!$B$5)^40</f>
        <v>0.17192870108741007</v>
      </c>
      <c r="C43" s="92">
        <v>0</v>
      </c>
      <c r="D43" s="92">
        <f>'Flux économiques'!$B$6*1000000000*'Flux économiques'!$B$7/1000000</f>
        <v>28709.999999999996</v>
      </c>
      <c r="E43" s="92">
        <f>'Flux économiques'!$B$6*'Flux économiques'!$B$8/1000*'Flux économiques'!$B$9</f>
        <v>2460</v>
      </c>
      <c r="F43" s="92">
        <f>-'Flux économiques'!$B$3*'Flux économiques'!$B$13</f>
        <v>-3425</v>
      </c>
      <c r="G43" s="92">
        <v>0</v>
      </c>
      <c r="H43" s="93">
        <f t="shared" si="0"/>
        <v>27744.999999999996</v>
      </c>
      <c r="I43" s="92">
        <f t="shared" si="1"/>
        <v>4770.161811670192</v>
      </c>
      <c r="J43" s="94">
        <f t="shared" si="2"/>
        <v>232.40557237472882</v>
      </c>
    </row>
    <row r="44" spans="1:10" ht="15" customHeight="1" x14ac:dyDescent="0.35">
      <c r="A44" s="90">
        <v>2066</v>
      </c>
      <c r="B44" s="91">
        <f>1/(1+'Flux économiques'!$B$5)^41</f>
        <v>0.16452507281091874</v>
      </c>
      <c r="C44" s="92">
        <v>0</v>
      </c>
      <c r="D44" s="92">
        <f>'Flux économiques'!$B$6*1000000000*'Flux économiques'!$B$7/1000000</f>
        <v>28709.999999999996</v>
      </c>
      <c r="E44" s="92">
        <f>'Flux économiques'!$B$6*'Flux économiques'!$B$8/1000*'Flux économiques'!$B$9</f>
        <v>2460</v>
      </c>
      <c r="F44" s="92">
        <f>-'Flux économiques'!$B$3*'Flux économiques'!$B$13</f>
        <v>-3425</v>
      </c>
      <c r="G44" s="92">
        <v>0</v>
      </c>
      <c r="H44" s="93">
        <f t="shared" si="0"/>
        <v>27744.999999999996</v>
      </c>
      <c r="I44" s="92">
        <f t="shared" si="1"/>
        <v>4564.7481451389403</v>
      </c>
      <c r="J44" s="94">
        <f t="shared" si="2"/>
        <v>236.97032051986776</v>
      </c>
    </row>
    <row r="45" spans="1:10" ht="15" customHeight="1" x14ac:dyDescent="0.35">
      <c r="A45" s="90">
        <v>2067</v>
      </c>
      <c r="B45" s="91">
        <f>1/(1+'Flux économiques'!$B$5)^42</f>
        <v>0.15744026106308018</v>
      </c>
      <c r="C45" s="92">
        <v>0</v>
      </c>
      <c r="D45" s="92">
        <f>'Flux économiques'!$B$6*1000000000*'Flux économiques'!$B$7/1000000</f>
        <v>28709.999999999996</v>
      </c>
      <c r="E45" s="92">
        <f>'Flux économiques'!$B$6*'Flux économiques'!$B$8/1000*'Flux économiques'!$B$9</f>
        <v>2460</v>
      </c>
      <c r="F45" s="92">
        <f>-'Flux économiques'!$B$3*'Flux économiques'!$B$13</f>
        <v>-3425</v>
      </c>
      <c r="G45" s="92">
        <v>0</v>
      </c>
      <c r="H45" s="93">
        <f t="shared" si="0"/>
        <v>27744.999999999996</v>
      </c>
      <c r="I45" s="92">
        <f t="shared" si="1"/>
        <v>4368.1800431951588</v>
      </c>
      <c r="J45" s="94">
        <f t="shared" si="2"/>
        <v>241.33850056306292</v>
      </c>
    </row>
    <row r="46" spans="1:10" ht="15" customHeight="1" x14ac:dyDescent="0.35">
      <c r="A46" s="90">
        <v>2068</v>
      </c>
      <c r="B46" s="91">
        <f>1/(1+'Flux économiques'!$B$5)^43</f>
        <v>0.15066053690246906</v>
      </c>
      <c r="C46" s="92">
        <v>0</v>
      </c>
      <c r="D46" s="92">
        <f>'Flux économiques'!$B$6*1000000000*'Flux économiques'!$B$7/1000000</f>
        <v>28709.999999999996</v>
      </c>
      <c r="E46" s="92">
        <f>'Flux économiques'!$B$6*'Flux économiques'!$B$8/1000*'Flux économiques'!$B$9</f>
        <v>2460</v>
      </c>
      <c r="F46" s="92">
        <f>-'Flux économiques'!$B$3*'Flux économiques'!$B$13</f>
        <v>-3425</v>
      </c>
      <c r="G46" s="92">
        <v>0</v>
      </c>
      <c r="H46" s="93">
        <f t="shared" si="0"/>
        <v>27744.999999999996</v>
      </c>
      <c r="I46" s="92">
        <f t="shared" si="1"/>
        <v>4180.0765963590038</v>
      </c>
      <c r="J46" s="94">
        <f t="shared" si="2"/>
        <v>245.51857715942194</v>
      </c>
    </row>
    <row r="47" spans="1:10" ht="15" customHeight="1" x14ac:dyDescent="0.35">
      <c r="A47" s="90">
        <v>2069</v>
      </c>
      <c r="B47" s="91">
        <f>1/(1+'Flux économiques'!$B$5)^44</f>
        <v>0.14417276258609482</v>
      </c>
      <c r="C47" s="92">
        <v>0</v>
      </c>
      <c r="D47" s="92">
        <f>'Flux économiques'!$B$6*1000000000*'Flux économiques'!$B$7/1000000</f>
        <v>28709.999999999996</v>
      </c>
      <c r="E47" s="92">
        <f>'Flux économiques'!$B$6*'Flux économiques'!$B$8/1000*'Flux économiques'!$B$9</f>
        <v>2460</v>
      </c>
      <c r="F47" s="92">
        <f>-'Flux économiques'!$B$3*'Flux économiques'!$B$13</f>
        <v>-3425</v>
      </c>
      <c r="G47" s="92">
        <v>0</v>
      </c>
      <c r="H47" s="93">
        <f t="shared" si="0"/>
        <v>27744.999999999996</v>
      </c>
      <c r="I47" s="92">
        <f t="shared" si="1"/>
        <v>4000.0732979512004</v>
      </c>
      <c r="J47" s="94">
        <f t="shared" si="2"/>
        <v>249.51865045737313</v>
      </c>
    </row>
    <row r="48" spans="1:10" ht="15" customHeight="1" x14ac:dyDescent="0.35">
      <c r="A48" s="90">
        <v>2070</v>
      </c>
      <c r="B48" s="91">
        <f>1/(1+'Flux économiques'!$B$5)^45</f>
        <v>0.13796436611109553</v>
      </c>
      <c r="C48" s="92">
        <v>0</v>
      </c>
      <c r="D48" s="92">
        <f>'Flux économiques'!$B$6*1000000000*'Flux économiques'!$B$7/1000000</f>
        <v>28709.999999999996</v>
      </c>
      <c r="E48" s="92">
        <f>'Flux économiques'!$B$6*'Flux économiques'!$B$8/1000*'Flux économiques'!$B$9</f>
        <v>2460</v>
      </c>
      <c r="F48" s="92">
        <f>-'Flux économiques'!$B$3*'Flux économiques'!$B$13</f>
        <v>-3425</v>
      </c>
      <c r="G48" s="92">
        <v>0</v>
      </c>
      <c r="H48" s="93">
        <f t="shared" si="0"/>
        <v>27744.999999999996</v>
      </c>
      <c r="I48" s="92">
        <f t="shared" si="1"/>
        <v>3827.8213377523448</v>
      </c>
      <c r="J48" s="94">
        <f t="shared" si="2"/>
        <v>253.34647179512547</v>
      </c>
    </row>
    <row r="49" spans="1:10" ht="15" customHeight="1" x14ac:dyDescent="0.35">
      <c r="A49" s="90">
        <v>2071</v>
      </c>
      <c r="B49" s="91">
        <f>1/(1+'Flux économiques'!$B$5)^46</f>
        <v>0.132023316852723</v>
      </c>
      <c r="C49" s="92">
        <v>0</v>
      </c>
      <c r="D49" s="92">
        <f>'Flux économiques'!$B$6*1000000000*'Flux économiques'!$B$7/1000000</f>
        <v>28709.999999999996</v>
      </c>
      <c r="E49" s="92">
        <f>'Flux économiques'!$B$6*'Flux économiques'!$B$8/1000*'Flux économiques'!$B$9</f>
        <v>2460</v>
      </c>
      <c r="F49" s="92">
        <f>-'Flux économiques'!$B$3*'Flux économiques'!$B$13</f>
        <v>-3425</v>
      </c>
      <c r="G49" s="92">
        <v>0</v>
      </c>
      <c r="H49" s="93">
        <f t="shared" si="0"/>
        <v>27744.999999999996</v>
      </c>
      <c r="I49" s="92">
        <f t="shared" si="1"/>
        <v>3662.9869260787991</v>
      </c>
      <c r="J49" s="94">
        <f t="shared" si="2"/>
        <v>257.00945872120428</v>
      </c>
    </row>
    <row r="50" spans="1:10" ht="15" customHeight="1" x14ac:dyDescent="0.35">
      <c r="A50" s="90">
        <v>2072</v>
      </c>
      <c r="B50" s="91">
        <f>1/(1+'Flux économiques'!$B$5)^47</f>
        <v>0.12633810225140957</v>
      </c>
      <c r="C50" s="92">
        <v>0</v>
      </c>
      <c r="D50" s="92">
        <f>'Flux économiques'!$B$6*1000000000*'Flux économiques'!$B$7/1000000</f>
        <v>28709.999999999996</v>
      </c>
      <c r="E50" s="92">
        <f>'Flux économiques'!$B$6*'Flux économiques'!$B$8/1000*'Flux économiques'!$B$9</f>
        <v>2460</v>
      </c>
      <c r="F50" s="92">
        <f>-'Flux économiques'!$B$3*'Flux économiques'!$B$13</f>
        <v>-3425</v>
      </c>
      <c r="G50" s="92">
        <v>0</v>
      </c>
      <c r="H50" s="93">
        <f t="shared" si="0"/>
        <v>27744.999999999996</v>
      </c>
      <c r="I50" s="92">
        <f t="shared" si="1"/>
        <v>3505.2506469653581</v>
      </c>
      <c r="J50" s="94">
        <f t="shared" si="2"/>
        <v>260.51470936816963</v>
      </c>
    </row>
    <row r="51" spans="1:10" ht="15" customHeight="1" x14ac:dyDescent="0.35">
      <c r="A51" s="90">
        <v>2073</v>
      </c>
      <c r="B51" s="91">
        <f>1/(1+'Flux économiques'!$B$5)^48</f>
        <v>0.12089770550374127</v>
      </c>
      <c r="C51" s="92">
        <v>0</v>
      </c>
      <c r="D51" s="92">
        <f>'Flux économiques'!$B$6*1000000000*'Flux économiques'!$B$7/1000000</f>
        <v>28709.999999999996</v>
      </c>
      <c r="E51" s="92">
        <f>'Flux économiques'!$B$6*'Flux économiques'!$B$8/1000*'Flux économiques'!$B$9</f>
        <v>2460</v>
      </c>
      <c r="F51" s="92">
        <f>-'Flux économiques'!$B$3*'Flux économiques'!$B$13</f>
        <v>-3425</v>
      </c>
      <c r="G51" s="92">
        <v>0</v>
      </c>
      <c r="H51" s="93">
        <f t="shared" si="0"/>
        <v>27744.999999999996</v>
      </c>
      <c r="I51" s="92">
        <f t="shared" si="1"/>
        <v>3354.306839201301</v>
      </c>
      <c r="J51" s="94">
        <f t="shared" si="2"/>
        <v>263.86901620737092</v>
      </c>
    </row>
    <row r="52" spans="1:10" ht="15" customHeight="1" x14ac:dyDescent="0.35">
      <c r="A52" s="90">
        <v>2074</v>
      </c>
      <c r="B52" s="91">
        <f>1/(1+'Flux économiques'!$B$5)^49</f>
        <v>0.11569158421410647</v>
      </c>
      <c r="C52" s="92">
        <v>0</v>
      </c>
      <c r="D52" s="92">
        <f>'Flux économiques'!$B$6*1000000000*'Flux économiques'!$B$7/1000000</f>
        <v>28709.999999999996</v>
      </c>
      <c r="E52" s="92">
        <f>'Flux économiques'!$B$6*'Flux économiques'!$B$8/1000*'Flux économiques'!$B$9</f>
        <v>2460</v>
      </c>
      <c r="F52" s="92">
        <f>-'Flux économiques'!$B$3*'Flux économiques'!$B$13</f>
        <v>-3425</v>
      </c>
      <c r="G52" s="92">
        <v>0</v>
      </c>
      <c r="H52" s="93">
        <f t="shared" si="0"/>
        <v>27744.999999999996</v>
      </c>
      <c r="I52" s="92">
        <f t="shared" si="1"/>
        <v>3209.8630040203834</v>
      </c>
      <c r="J52" s="94">
        <f t="shared" si="2"/>
        <v>267.07887921139132</v>
      </c>
    </row>
    <row r="53" spans="1:10" ht="19.5" customHeight="1" x14ac:dyDescent="0.35">
      <c r="A53" s="95" t="s">
        <v>278</v>
      </c>
      <c r="B53" s="96"/>
      <c r="C53" s="97">
        <f t="shared" ref="C53:I53" si="3">SUM(C3:C52)</f>
        <v>-137000</v>
      </c>
      <c r="D53" s="97">
        <f t="shared" si="3"/>
        <v>1205819.9999999998</v>
      </c>
      <c r="E53" s="97">
        <f t="shared" si="3"/>
        <v>103320</v>
      </c>
      <c r="F53" s="97">
        <f t="shared" si="3"/>
        <v>-143850</v>
      </c>
      <c r="G53" s="97">
        <f t="shared" si="3"/>
        <v>-731.13484090909094</v>
      </c>
      <c r="H53" s="97">
        <f t="shared" si="3"/>
        <v>1027558.8651590908</v>
      </c>
      <c r="I53" s="97">
        <f t="shared" si="3"/>
        <v>267078.87921139121</v>
      </c>
      <c r="J53" s="98">
        <f>J52</f>
        <v>267.07887921139132</v>
      </c>
    </row>
    <row r="55" spans="1:10" ht="27.75" customHeight="1" x14ac:dyDescent="0.35">
      <c r="A55" s="102"/>
      <c r="B55" s="102"/>
      <c r="C55" s="102"/>
      <c r="D55" s="102"/>
      <c r="E55" s="102"/>
      <c r="F55" s="102"/>
      <c r="G55" s="102"/>
      <c r="H55" s="102"/>
      <c r="I55" s="102"/>
      <c r="J55" s="102"/>
    </row>
  </sheetData>
  <mergeCells count="3">
    <mergeCell ref="A1:J1"/>
    <mergeCell ref="L1:M1"/>
    <mergeCell ref="A55:J5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59999389629810485"/>
  </sheetPr>
  <dimension ref="A1:J10"/>
  <sheetViews>
    <sheetView showGridLines="0" tabSelected="1" zoomScaleNormal="100" workbookViewId="0">
      <selection activeCell="D7" sqref="D7"/>
    </sheetView>
  </sheetViews>
  <sheetFormatPr baseColWidth="10" defaultColWidth="8.6328125" defaultRowHeight="14.5" x14ac:dyDescent="0.35"/>
  <cols>
    <col min="1" max="1" width="26" customWidth="1"/>
    <col min="2" max="2" width="11.1796875" customWidth="1"/>
    <col min="3" max="3" width="16.54296875" customWidth="1"/>
    <col min="4" max="4" width="17.453125" customWidth="1"/>
    <col min="5" max="5" width="13.7265625" customWidth="1"/>
    <col min="6" max="6" width="16.36328125" customWidth="1"/>
    <col min="7" max="7" width="13.36328125" customWidth="1"/>
    <col min="8" max="8" width="14.36328125" customWidth="1"/>
    <col min="9" max="9" width="11.26953125" bestFit="1" customWidth="1"/>
    <col min="10" max="10" width="13.36328125" customWidth="1"/>
  </cols>
  <sheetData>
    <row r="1" spans="1:10" ht="27.75" customHeight="1" thickBot="1" x14ac:dyDescent="0.4">
      <c r="A1" s="39" t="s">
        <v>279</v>
      </c>
      <c r="B1" s="40"/>
      <c r="C1" s="40"/>
      <c r="D1" s="40"/>
      <c r="E1" s="40"/>
      <c r="F1" s="40"/>
      <c r="G1" s="40"/>
      <c r="H1" s="40"/>
      <c r="I1" s="40"/>
      <c r="J1" s="41"/>
    </row>
    <row r="2" spans="1:10" ht="13.5" customHeight="1" x14ac:dyDescent="0.35">
      <c r="A2" s="103" t="s">
        <v>280</v>
      </c>
      <c r="B2" s="104">
        <f>((1-(1+'Flux économiques'!$B$5)^(-44))/'Flux économiques'!$B$5)/(1+'Flux économiques'!$B$5)^6</f>
        <v>14.604135295833659</v>
      </c>
      <c r="C2" s="3"/>
      <c r="D2" s="3"/>
      <c r="E2" s="3"/>
      <c r="F2" s="3"/>
      <c r="G2" s="3"/>
      <c r="H2" s="3"/>
      <c r="I2" s="3"/>
      <c r="J2" s="3"/>
    </row>
    <row r="3" spans="1:10" ht="42" customHeight="1" x14ac:dyDescent="0.35">
      <c r="A3" s="4"/>
      <c r="B3" s="4" t="s">
        <v>281</v>
      </c>
      <c r="C3" s="4" t="s">
        <v>282</v>
      </c>
      <c r="D3" s="4" t="s">
        <v>283</v>
      </c>
      <c r="E3" s="4" t="s">
        <v>284</v>
      </c>
      <c r="F3" s="4" t="s">
        <v>285</v>
      </c>
      <c r="G3" s="4" t="s">
        <v>286</v>
      </c>
      <c r="H3" s="4" t="s">
        <v>293</v>
      </c>
      <c r="I3" s="4" t="s">
        <v>294</v>
      </c>
      <c r="J3" s="4" t="s">
        <v>307</v>
      </c>
    </row>
    <row r="4" spans="1:10" ht="18" customHeight="1" x14ac:dyDescent="0.35">
      <c r="A4" s="8" t="s">
        <v>287</v>
      </c>
      <c r="B4" s="7"/>
      <c r="C4" s="9" t="s">
        <v>288</v>
      </c>
      <c r="D4" s="9" t="s">
        <v>289</v>
      </c>
      <c r="E4" s="9" t="s">
        <v>290</v>
      </c>
      <c r="F4" s="107" t="s">
        <v>310</v>
      </c>
      <c r="G4" s="107" t="s">
        <v>311</v>
      </c>
      <c r="H4" s="9" t="s">
        <v>295</v>
      </c>
      <c r="I4" s="9" t="s">
        <v>296</v>
      </c>
      <c r="J4" s="9" t="s">
        <v>306</v>
      </c>
    </row>
    <row r="5" spans="1:10" ht="19.5" customHeight="1" x14ac:dyDescent="0.35">
      <c r="A5" s="8" t="s">
        <v>272</v>
      </c>
      <c r="B5" s="5">
        <f>VAN!J52</f>
        <v>267.07887921139132</v>
      </c>
      <c r="C5" s="5">
        <f>VAN!J52+(-0.1*'Flux économiques'!$B$3/1000)</f>
        <v>253.37887921139134</v>
      </c>
      <c r="D5" s="5">
        <f>VAN!J52+(-0.1*'Flux économiques'!$B$3*'Flux économiques'!$B$13*B2/1000)</f>
        <v>262.07696287256829</v>
      </c>
      <c r="E5" s="5">
        <f>VAN!J52+(-0.1*('Flux économiques'!$B$3/1000+'Flux économiques'!$B$3*'Flux économiques'!$B$13*B2/1000))</f>
        <v>248.3769628725683</v>
      </c>
      <c r="F5" s="5">
        <f>VAN!J52+(-0.1*('Flux économiques'!$B$6*1000000000*'Flux économiques'!$B$7/1000000+'Flux économiques'!$B$6*'Flux économiques'!$B$8/1000*'Flux économiques'!$B$9)*B2/1000)</f>
        <v>221.55778949427781</v>
      </c>
      <c r="G5" s="5">
        <f>VAN!J52+(-0.1*'Flux économiques'!$B$6*1000000000*'Flux économiques'!$B$7/1000000*B2/1000)</f>
        <v>225.15040677705289</v>
      </c>
      <c r="H5" s="5">
        <f>VAN!J52+(0.1*('Flux économiques'!$B$6*1000000000*'Flux économiques'!$B$7/1000000+'Flux économiques'!$B$6*'Flux économiques'!$B$8/1000*'Flux économiques'!$B$9)*B2/1000)</f>
        <v>312.59996892850484</v>
      </c>
      <c r="I5" s="5">
        <f>VAN!J52+(0.1*'Flux économiques'!$B$6*1000000000*'Flux économiques'!$B$7/1000000*B2/1000)</f>
        <v>309.00735164572978</v>
      </c>
      <c r="J5" s="5">
        <f>VAN!J52+(0.1*'Flux économiques'!$B$6*'Flux économiques'!$B$8/1000*'Flux économiques'!$B$9*B2/1000)</f>
        <v>270.67149649416638</v>
      </c>
    </row>
    <row r="6" spans="1:10" ht="18" customHeight="1" x14ac:dyDescent="0.35">
      <c r="A6" s="6" t="s">
        <v>291</v>
      </c>
      <c r="B6" s="10"/>
      <c r="C6" s="11">
        <f>-0.1*'Flux économiques'!$B$3/1000</f>
        <v>-13.7</v>
      </c>
      <c r="D6" s="11">
        <f>-0.1*'Flux économiques'!$B$3*'Flux économiques'!$B$13*B2/1000</f>
        <v>-5.0019163388230279</v>
      </c>
      <c r="E6" s="11">
        <f>-0.1*('Flux économiques'!$B$3/1000+'Flux économiques'!$B$3*'Flux économiques'!$B$13*B2/1000)</f>
        <v>-18.701916338823029</v>
      </c>
      <c r="F6" s="11">
        <f>-0.1*('Flux économiques'!$B$6*1000000000*'Flux économiques'!$B$7/1000000+'Flux économiques'!$B$6*'Flux économiques'!$B$8/1000*'Flux économiques'!$B$9)*B2/1000</f>
        <v>-45.521089717113512</v>
      </c>
      <c r="G6" s="11">
        <f>-0.1*'Flux économiques'!$B$6*1000000000*'Flux économiques'!$B$7/1000000*B2/1000</f>
        <v>-41.928472434338438</v>
      </c>
      <c r="H6" s="11">
        <f>0.1*('Flux économiques'!$B$6*1000000000*'Flux économiques'!$B$7/1000000+'Flux économiques'!$B$6*'Flux économiques'!$B$8/1000*'Flux économiques'!$B$9)*B2/1000</f>
        <v>45.521089717113512</v>
      </c>
      <c r="I6" s="11">
        <f>0.1*'Flux économiques'!$B$6*1000000000*'Flux économiques'!$B$7/1000000*B2/1000</f>
        <v>41.928472434338438</v>
      </c>
      <c r="J6" s="11">
        <f>0.1*'Flux économiques'!$B$6*'Flux économiques'!$B$8/1000*'Flux économiques'!$B$9*B2/1000</f>
        <v>3.59261728277508</v>
      </c>
    </row>
    <row r="7" spans="1:10" ht="18" customHeight="1" x14ac:dyDescent="0.35">
      <c r="A7" s="6" t="s">
        <v>292</v>
      </c>
      <c r="B7" s="10"/>
      <c r="C7" s="12">
        <f>(-0.1*'Flux économiques'!$B$3/1000)/VAN!J52</f>
        <v>-5.1295707247432813E-2</v>
      </c>
      <c r="D7" s="12">
        <f>(-0.1*'Flux économiques'!$B$3*'Flux économiques'!$B$13*B2/1000)/VAN!J52</f>
        <v>-1.87282362184246E-2</v>
      </c>
      <c r="E7" s="12">
        <f>(-0.1*('Flux économiques'!$B$3/1000+'Flux économiques'!$B$3*'Flux économiques'!$B$13*B2/1000))/VAN!J52</f>
        <v>-7.0023943465857427E-2</v>
      </c>
      <c r="F7" s="12">
        <f>(-0.1*('Flux économiques'!$B$6*1000000000*'Flux économiques'!$B$7/1000000+'Flux économiques'!$B$6*'Flux économiques'!$B$8/1000*'Flux économiques'!$B$9)*B2/1000)/VAN!J52</f>
        <v>-0.17044061983307876</v>
      </c>
      <c r="G7" s="12">
        <f>(-0.1*'Flux économiques'!$B$6*1000000000*'Flux économiques'!$B$7/1000000*B2/1000)/VAN!J52</f>
        <v>-0.15698909834480887</v>
      </c>
      <c r="H7" s="12">
        <f>(0.1*('Flux économiques'!$B$6*1000000000*'Flux économiques'!$B$7/1000000+'Flux économiques'!$B$6*'Flux économiques'!$B$8/1000*'Flux économiques'!$B$9)*B2/1000)/VAN!J52</f>
        <v>0.17044061983307876</v>
      </c>
      <c r="I7" s="12">
        <f>(0.1*'Flux économiques'!$B$6*1000000000*'Flux économiques'!$B$7/1000000*B2/1000)/VAN!J52</f>
        <v>0.15698909834480887</v>
      </c>
      <c r="J7" s="12">
        <f>(0.1*'Flux économiques'!$B$6*'Flux économiques'!$B$8/1000*'Flux économiques'!$B$9*B2/1000)/VAN!J52</f>
        <v>1.3451521488269932E-2</v>
      </c>
    </row>
    <row r="8" spans="1:10" ht="7.5" customHeight="1" x14ac:dyDescent="0.35"/>
    <row r="10" spans="1:10" ht="46" customHeight="1" x14ac:dyDescent="0.35">
      <c r="A10" s="102"/>
      <c r="B10" s="102"/>
      <c r="C10" s="102"/>
      <c r="D10" s="102"/>
      <c r="E10" s="102"/>
      <c r="F10" s="102"/>
      <c r="G10" s="102"/>
    </row>
  </sheetData>
  <mergeCells count="2">
    <mergeCell ref="A10:G10"/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Scénarios</vt:lpstr>
      <vt:lpstr>Impacts</vt:lpstr>
      <vt:lpstr>Valorisation</vt:lpstr>
      <vt:lpstr>Flux économiques</vt:lpstr>
      <vt:lpstr>VAN</vt:lpstr>
      <vt:lpstr>Stress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Sampel JEAN</dc:creator>
  <dc:description/>
  <cp:lastModifiedBy>Sampel JEAN</cp:lastModifiedBy>
  <cp:revision>0</cp:revision>
  <dcterms:created xsi:type="dcterms:W3CDTF">2026-03-03T11:11:50Z</dcterms:created>
  <dcterms:modified xsi:type="dcterms:W3CDTF">2026-03-22T21:12:56Z</dcterms:modified>
  <dc:language>en-US</dc:language>
</cp:coreProperties>
</file>